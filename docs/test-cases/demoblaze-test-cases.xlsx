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Cart" sheetId="3" state="visible" r:id="rId3"/>
    <sheet xmlns:r="http://schemas.openxmlformats.org/officeDocument/2006/relationships" name="API &amp; Performance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Change Log" sheetId="6" state="visible" r:id="rId6"/>
  </sheets>
  <definedNames>
    <definedName name="_xlnm._FilterDatabase" localSheetId="1" hidden="1">'Login'!$A$1:$N$28</definedName>
    <definedName name="_xlnm._FilterDatabase" localSheetId="2" hidden="1">'Cart'!$A$1:$N$34</definedName>
    <definedName name="_xlnm._FilterDatabase" localSheetId="3" hidden="1">'API &amp; Performance'!$A$1:$H$16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color rgb="001F3864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5" fillId="0" borderId="1" pivotButton="0" quotePrefix="0" xfId="0"/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Demoblaze — Login &amp; Cart Test Cases</t>
        </is>
      </c>
    </row>
    <row r="2">
      <c r="A2" s="2" t="inlineStr">
        <is>
          <t>Application under test: https://www.demoblaze.com/</t>
        </is>
      </c>
    </row>
    <row r="3">
      <c r="A3" s="2" t="inlineStr">
        <is>
          <t>Scope: Login (incl. session/logout) and Cart (add, view, delete, total, place order); API and performance checks on the 'API &amp; Performance' sheet</t>
        </is>
      </c>
    </row>
    <row r="5">
      <c r="A5" s="3" t="inlineStr">
        <is>
          <t>Coverage by type</t>
        </is>
      </c>
    </row>
    <row r="6">
      <c r="A6" s="4" t="inlineStr">
        <is>
          <t>Type</t>
        </is>
      </c>
      <c r="B6" s="4" t="inlineStr">
        <is>
          <t>Login</t>
        </is>
      </c>
      <c r="C6" s="4" t="inlineStr">
        <is>
          <t>Cart</t>
        </is>
      </c>
      <c r="D6" s="4" t="inlineStr">
        <is>
          <t>Total</t>
        </is>
      </c>
    </row>
    <row r="7">
      <c r="A7" s="5" t="inlineStr">
        <is>
          <t>Functional</t>
        </is>
      </c>
      <c r="B7" s="6">
        <f>COUNTIF(Login!$E$2:$E$200,A7)</f>
        <v/>
      </c>
      <c r="C7" s="6">
        <f>COUNTIF(Cart!$E$2:$E$200,A7)</f>
        <v/>
      </c>
      <c r="D7" s="6">
        <f>B7+C7</f>
        <v/>
      </c>
    </row>
    <row r="8">
      <c r="A8" s="5" t="inlineStr">
        <is>
          <t>Negative</t>
        </is>
      </c>
      <c r="B8" s="6">
        <f>COUNTIF(Login!$E$2:$E$200,A8)</f>
        <v/>
      </c>
      <c r="C8" s="6">
        <f>COUNTIF(Cart!$E$2:$E$200,A8)</f>
        <v/>
      </c>
      <c r="D8" s="6">
        <f>B8+C8</f>
        <v/>
      </c>
    </row>
    <row r="9">
      <c r="A9" s="5" t="inlineStr">
        <is>
          <t>Edge</t>
        </is>
      </c>
      <c r="B9" s="6">
        <f>COUNTIF(Login!$E$2:$E$200,A9)</f>
        <v/>
      </c>
      <c r="C9" s="6">
        <f>COUNTIF(Cart!$E$2:$E$200,A9)</f>
        <v/>
      </c>
      <c r="D9" s="6">
        <f>B9+C9</f>
        <v/>
      </c>
    </row>
    <row r="10">
      <c r="A10" s="7" t="inlineStr">
        <is>
          <t>Total</t>
        </is>
      </c>
      <c r="B10" s="6">
        <f>SUM(B7:B9)</f>
        <v/>
      </c>
      <c r="C10" s="6">
        <f>SUM(C7:C9)</f>
        <v/>
      </c>
      <c r="D10" s="6">
        <f>SUM(D7:D9)</f>
        <v/>
      </c>
    </row>
    <row r="12">
      <c r="A12" s="5" t="inlineStr">
        <is>
          <t>Coverage by priority</t>
        </is>
      </c>
    </row>
    <row r="13">
      <c r="A13" s="4" t="inlineStr">
        <is>
          <t>Priority</t>
        </is>
      </c>
      <c r="B13" s="4" t="inlineStr">
        <is>
          <t>Login</t>
        </is>
      </c>
      <c r="C13" s="4" t="inlineStr">
        <is>
          <t>Cart</t>
        </is>
      </c>
      <c r="D13" s="4" t="inlineStr">
        <is>
          <t>Total</t>
        </is>
      </c>
    </row>
    <row r="14">
      <c r="A14" s="5" t="inlineStr">
        <is>
          <t>High</t>
        </is>
      </c>
      <c r="B14" s="6">
        <f>COUNTIF(Login!$F$2:$F$200,A14)</f>
        <v/>
      </c>
      <c r="C14" s="6">
        <f>COUNTIF(Cart!$F$2:$F$200,A14)</f>
        <v/>
      </c>
      <c r="D14" s="6">
        <f>B14+C14</f>
        <v/>
      </c>
    </row>
    <row r="15">
      <c r="A15" s="5" t="inlineStr">
        <is>
          <t>Medium</t>
        </is>
      </c>
      <c r="B15" s="6">
        <f>COUNTIF(Login!$F$2:$F$200,A15)</f>
        <v/>
      </c>
      <c r="C15" s="6">
        <f>COUNTIF(Cart!$F$2:$F$200,A15)</f>
        <v/>
      </c>
      <c r="D15" s="6">
        <f>B15+C15</f>
        <v/>
      </c>
    </row>
    <row r="16">
      <c r="A16" s="5" t="inlineStr">
        <is>
          <t>Low</t>
        </is>
      </c>
      <c r="B16" s="6">
        <f>COUNTIF(Login!$F$2:$F$200,A16)</f>
        <v/>
      </c>
      <c r="C16" s="6">
        <f>COUNTIF(Cart!$F$2:$F$200,A16)</f>
        <v/>
      </c>
      <c r="D16" s="6">
        <f>B16+C16</f>
        <v/>
      </c>
    </row>
    <row r="18">
      <c r="A18" s="5" t="inlineStr">
        <is>
          <t>Execution status</t>
        </is>
      </c>
    </row>
    <row r="19">
      <c r="A19" s="4" t="inlineStr">
        <is>
          <t>Status</t>
        </is>
      </c>
      <c r="B19" s="4" t="inlineStr">
        <is>
          <t>Login</t>
        </is>
      </c>
      <c r="C19" s="4" t="inlineStr">
        <is>
          <t>Cart</t>
        </is>
      </c>
      <c r="D19" s="4" t="inlineStr">
        <is>
          <t>Total</t>
        </is>
      </c>
    </row>
    <row r="20">
      <c r="A20" s="5" t="inlineStr">
        <is>
          <t>Not Run</t>
        </is>
      </c>
      <c r="B20" s="6">
        <f>COUNTIF(Login!$L$2:$L$200,A20)</f>
        <v/>
      </c>
      <c r="C20" s="6">
        <f>COUNTIF(Cart!$L$2:$L$200,A20)</f>
        <v/>
      </c>
      <c r="D20" s="6">
        <f>B20+C20</f>
        <v/>
      </c>
    </row>
    <row r="21">
      <c r="A21" s="5" t="inlineStr">
        <is>
          <t>Pass</t>
        </is>
      </c>
      <c r="B21" s="6">
        <f>COUNTIF(Login!$L$2:$L$200,A21)</f>
        <v/>
      </c>
      <c r="C21" s="6">
        <f>COUNTIF(Cart!$L$2:$L$200,A21)</f>
        <v/>
      </c>
      <c r="D21" s="6">
        <f>B21+C21</f>
        <v/>
      </c>
    </row>
    <row r="22">
      <c r="A22" s="5" t="inlineStr">
        <is>
          <t>Fail</t>
        </is>
      </c>
      <c r="B22" s="6">
        <f>COUNTIF(Login!$L$2:$L$200,A22)</f>
        <v/>
      </c>
      <c r="C22" s="6">
        <f>COUNTIF(Cart!$L$2:$L$200,A22)</f>
        <v/>
      </c>
      <c r="D22" s="6">
        <f>B22+C22</f>
        <v/>
      </c>
    </row>
    <row r="23">
      <c r="A23" s="5" t="inlineStr">
        <is>
          <t>Blocked</t>
        </is>
      </c>
      <c r="B23" s="6">
        <f>COUNTIF(Login!$L$2:$L$200,A23)</f>
        <v/>
      </c>
      <c r="C23" s="6">
        <f>COUNTIF(Cart!$L$2:$L$200,A23)</f>
        <v/>
      </c>
      <c r="D23" s="6">
        <f>B23+C23</f>
        <v/>
      </c>
    </row>
    <row r="24">
      <c r="A24" s="5" t="inlineStr">
        <is>
          <t>Pass rate (executed)</t>
        </is>
      </c>
      <c r="D24" s="8">
        <f>IFERROR(D21/(D21+D22+D23),0)</f>
        <v/>
      </c>
    </row>
    <row r="26">
      <c r="A26" s="5" t="inlineStr">
        <is>
          <t>Automation candidates</t>
        </is>
      </c>
      <c r="D26" s="6">
        <f>COUNTIF(Login!$M$2:$M$200,"Yes")+COUNTIF(Cart!$M$2:$M$200,"Yes")</f>
        <v/>
      </c>
    </row>
    <row r="27">
      <c r="A27" s="5" t="inlineStr">
        <is>
          <t>Suspected defects (see Findings)</t>
        </is>
      </c>
      <c r="D27" s="6">
        <f>COUNTIF(Findings!$A$2:$A$200,"DEF-*")</f>
        <v/>
      </c>
    </row>
    <row r="28">
      <c r="A28" s="5" t="inlineStr">
        <is>
          <t>API / E2E / Performance cases (passed / total)</t>
        </is>
      </c>
      <c r="D28" s="6">
        <f>COUNTIF('API &amp; Performance'!$G$2:$G$200,"Pass")&amp;" / "&amp;COUNTA('API &amp; Performance'!$A$2:$A$200)</f>
        <v/>
      </c>
    </row>
    <row r="29">
      <c r="A29" s="3" t="inlineStr">
        <is>
          <t>How to use</t>
        </is>
      </c>
    </row>
    <row r="30">
      <c r="A30" s="2" t="inlineStr">
        <is>
          <t>• Yellow cells (Actual Result, Status on Login/Cart; 'Confirmed on run?' on Findings) are the only cells to fill in.</t>
        </is>
      </c>
    </row>
    <row r="31">
      <c r="A31" s="2" t="inlineStr">
        <is>
          <t>• Status: pick Not Run / Pass / Fail / Blocked from the dropdown; this summary updates automatically.</t>
        </is>
      </c>
    </row>
    <row r="32">
      <c r="A32" s="2" t="inlineStr">
        <is>
          <t>• Type: Functional = expected business flow; Negative = invalid input or misuse; Edge = boundaries, unusual states, consistency.</t>
        </is>
      </c>
    </row>
    <row r="33">
      <c r="A33" s="2" t="inlineStr">
        <is>
          <t>• Expected Result states the correct behaviour. Where the app is suspected to differ, Notes links a Findings ID.</t>
        </is>
      </c>
    </row>
    <row r="34">
      <c r="A34" s="2" t="inlineStr">
        <is>
          <t>• Preconditions that need accounts use data/accounts.json (not committed).</t>
        </is>
      </c>
    </row>
    <row r="35">
      <c r="A35" s="2" t="inlineStr">
        <is>
          <t>• Merged or added cases, and why, are listed on the 'Change Log' sheet. Removed IDs are not reused.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4" customWidth="1" min="4" max="4"/>
    <col width="11" customWidth="1" min="5" max="5"/>
    <col width="9" customWidth="1" min="6" max="6"/>
    <col width="28" customWidth="1" min="7" max="7"/>
    <col width="26" customWidth="1" min="8" max="8"/>
    <col width="40" customWidth="1" min="9" max="9"/>
    <col width="46" customWidth="1" min="10" max="10"/>
    <col width="26" customWidth="1" min="11" max="11"/>
    <col width="10" customWidth="1" min="12" max="12"/>
    <col width="10" customWidth="1" min="13" max="13"/>
    <col width="36" customWidth="1" min="14" max="14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Data</t>
        </is>
      </c>
      <c r="I1" s="4" t="inlineStr">
        <is>
          <t>Steps</t>
        </is>
      </c>
      <c r="J1" s="4" t="inlineStr">
        <is>
          <t>Expected Result</t>
        </is>
      </c>
      <c r="K1" s="4" t="inlineStr">
        <is>
          <t>Actual Result</t>
        </is>
      </c>
      <c r="L1" s="4" t="inlineStr">
        <is>
          <t>Status</t>
        </is>
      </c>
      <c r="M1" s="4" t="inlineStr">
        <is>
          <t>Automate</t>
        </is>
      </c>
      <c r="N1" s="4" t="inlineStr">
        <is>
          <t>Notes</t>
        </is>
      </c>
    </row>
    <row r="2">
      <c r="A2" s="9" t="inlineStr">
        <is>
          <t>LOGIN-001</t>
        </is>
      </c>
      <c r="B2" s="9" t="inlineStr">
        <is>
          <t>Login</t>
        </is>
      </c>
      <c r="C2" s="10" t="inlineStr">
        <is>
          <t>Login modal</t>
        </is>
      </c>
      <c r="D2" s="10" t="inlineStr">
        <is>
          <t>Open the Log in modal from the navbar; password is masked</t>
        </is>
      </c>
      <c r="E2" s="9" t="inlineStr">
        <is>
          <t>Functional</t>
        </is>
      </c>
      <c r="F2" s="9" t="inlineStr">
        <is>
          <t>High</t>
        </is>
      </c>
      <c r="G2" s="10" t="inlineStr">
        <is>
          <t>User is logged out; on home page</t>
        </is>
      </c>
      <c r="H2" s="10" t="inlineStr">
        <is>
          <t>Any password</t>
        </is>
      </c>
      <c r="I2" s="10" t="inlineStr">
        <is>
          <t>1. Click 'Log in' in the navbar
2. Type a password into the Password field</t>
        </is>
      </c>
      <c r="J2" s="10" t="inlineStr">
        <is>
          <t>Modal titled 'Log in' opens with Username and Password fields, 'Close' and 'Log in' buttons; Password characters are masked (input type=password)</t>
        </is>
      </c>
      <c r="K2" s="11" t="inlineStr">
        <is>
          <t>As expected on Chromium and WebKit. (Automated run 2026-09-27)</t>
        </is>
      </c>
      <c r="L2" s="12" t="inlineStr">
        <is>
          <t>Pass</t>
        </is>
      </c>
      <c r="M2" s="9" t="inlineStr">
        <is>
          <t>Yes</t>
        </is>
      </c>
      <c r="N2" s="10" t="inlineStr">
        <is>
          <t>Merged LOGIN-007 (2026-09-26)</t>
        </is>
      </c>
    </row>
    <row r="3">
      <c r="A3" s="9" t="inlineStr">
        <is>
          <t>LOGIN-002</t>
        </is>
      </c>
      <c r="B3" s="9" t="inlineStr">
        <is>
          <t>Login</t>
        </is>
      </c>
      <c r="C3" s="10" t="inlineStr">
        <is>
          <t>Login</t>
        </is>
      </c>
      <c r="D3" s="10" t="inlineStr">
        <is>
          <t>Log in with valid credentials</t>
        </is>
      </c>
      <c r="E3" s="9" t="inlineStr">
        <is>
          <t>Functional</t>
        </is>
      </c>
      <c r="F3" s="9" t="inlineStr">
        <is>
          <t>High</t>
        </is>
      </c>
      <c r="G3" s="10" t="inlineStr">
        <is>
          <t>User is logged out; Registered account from data/accounts.json</t>
        </is>
      </c>
      <c r="H3" s="10" t="inlineStr">
        <is>
          <t>Valid username / password</t>
        </is>
      </c>
      <c r="I3" s="10" t="inlineStr">
        <is>
          <t>1. Open Log in modal
2. Enter valid username and password
3. Click 'Log in'</t>
        </is>
      </c>
      <c r="J3" s="10" t="inlineStr">
        <is>
          <t>Modal closes, page reloads; navbar shows 'Welcome &lt;username&gt;' and 'Log out'; 'Log in' and 'Sign up' are hidden</t>
        </is>
      </c>
      <c r="K3" s="11" t="inlineStr">
        <is>
          <t>As expected on Chromium and WebKit. (Automated run 2026-09-27)</t>
        </is>
      </c>
      <c r="L3" s="12" t="inlineStr">
        <is>
          <t>Pass</t>
        </is>
      </c>
      <c r="M3" s="9" t="inlineStr">
        <is>
          <t>Yes</t>
        </is>
      </c>
      <c r="N3" s="10" t="inlineStr">
        <is>
          <t>Core happy path</t>
        </is>
      </c>
    </row>
    <row r="4">
      <c r="A4" s="9" t="inlineStr">
        <is>
          <t>LOGIN-003</t>
        </is>
      </c>
      <c r="B4" s="9" t="inlineStr">
        <is>
          <t>Login</t>
        </is>
      </c>
      <c r="C4" s="10" t="inlineStr">
        <is>
          <t>Session</t>
        </is>
      </c>
      <c r="D4" s="10" t="inlineStr">
        <is>
          <t>Session persists across reload, navigation and a new tab</t>
        </is>
      </c>
      <c r="E4" s="9" t="inlineStr">
        <is>
          <t>Functional</t>
        </is>
      </c>
      <c r="F4" s="9" t="inlineStr">
        <is>
          <t>High</t>
        </is>
      </c>
      <c r="G4" s="10" t="inlineStr">
        <is>
          <t>User is logged in</t>
        </is>
      </c>
      <c r="H4" s="10" t="inlineStr">
        <is>
          <t>-</t>
        </is>
      </c>
      <c r="I4" s="10" t="inlineStr">
        <is>
          <t>1. Reload the home page
2. Open a product page
3. Open Cart page
4. Open https://www.demoblaze.com/ in a new tab of the same browser</t>
        </is>
      </c>
      <c r="J4" s="10" t="inlineStr">
        <is>
          <t>'Welcome &lt;username&gt;' remains visible on every page and in the new tab (session cookie shared); user is not asked to log in again</t>
        </is>
      </c>
      <c r="K4" s="11" t="inlineStr">
        <is>
          <t>As expected on Chromium and WebKit. (Automated run 2026-09-27)</t>
        </is>
      </c>
      <c r="L4" s="12" t="inlineStr">
        <is>
          <t>Pass</t>
        </is>
      </c>
      <c r="M4" s="9" t="inlineStr">
        <is>
          <t>Yes</t>
        </is>
      </c>
      <c r="N4" s="10" t="inlineStr">
        <is>
          <t>Merged LOGIN-004 (2026-09-26)</t>
        </is>
      </c>
    </row>
    <row r="5">
      <c r="A5" s="9" t="inlineStr">
        <is>
          <t>LOGIN-005</t>
        </is>
      </c>
      <c r="B5" s="9" t="inlineStr">
        <is>
          <t>Login</t>
        </is>
      </c>
      <c r="C5" s="10" t="inlineStr">
        <is>
          <t>Logout</t>
        </is>
      </c>
      <c r="D5" s="10" t="inlineStr">
        <is>
          <t>Log out returns the user to the logged-out state</t>
        </is>
      </c>
      <c r="E5" s="9" t="inlineStr">
        <is>
          <t>Functional</t>
        </is>
      </c>
      <c r="F5" s="9" t="inlineStr">
        <is>
          <t>High</t>
        </is>
      </c>
      <c r="G5" s="10" t="inlineStr">
        <is>
          <t>User is logged in</t>
        </is>
      </c>
      <c r="H5" s="10" t="inlineStr">
        <is>
          <t>-</t>
        </is>
      </c>
      <c r="I5" s="10" t="inlineStr">
        <is>
          <t>1. Click 'Log out'</t>
        </is>
      </c>
      <c r="J5" s="10" t="inlineStr">
        <is>
          <t>User is redirected to index.html; 'Log in' and 'Sign up' visible; 'Welcome' and 'Log out' hidden; tokenp_ cookie removed</t>
        </is>
      </c>
      <c r="K5" s="11" t="inlineStr">
        <is>
          <t>As expected on Chromium and WebKit. (Automated run 2026-09-27)</t>
        </is>
      </c>
      <c r="L5" s="12" t="inlineStr">
        <is>
          <t>Pass</t>
        </is>
      </c>
      <c r="M5" s="9" t="inlineStr">
        <is>
          <t>Yes</t>
        </is>
      </c>
      <c r="N5" s="10" t="n"/>
    </row>
    <row r="6">
      <c r="A6" s="9" t="inlineStr">
        <is>
          <t>LOGIN-006</t>
        </is>
      </c>
      <c r="B6" s="9" t="inlineStr">
        <is>
          <t>Login</t>
        </is>
      </c>
      <c r="C6" s="10" t="inlineStr">
        <is>
          <t>Logout</t>
        </is>
      </c>
      <c r="D6" s="10" t="inlineStr">
        <is>
          <t>Browser Back after logout does not restore the session</t>
        </is>
      </c>
      <c r="E6" s="9" t="inlineStr">
        <is>
          <t>Functional</t>
        </is>
      </c>
      <c r="F6" s="9" t="inlineStr">
        <is>
          <t>Medium</t>
        </is>
      </c>
      <c r="G6" s="10" t="inlineStr">
        <is>
          <t>User logged in, then logged out</t>
        </is>
      </c>
      <c r="H6" s="10" t="inlineStr">
        <is>
          <t>-</t>
        </is>
      </c>
      <c r="I6" s="10" t="inlineStr">
        <is>
          <t>1. Press browser Back
2. Reload the page</t>
        </is>
      </c>
      <c r="J6" s="10" t="inlineStr">
        <is>
          <t>Page shows logged-out navbar; no 'Welcome &lt;username&gt;'</t>
        </is>
      </c>
      <c r="K6" s="11" t="inlineStr">
        <is>
          <t>As expected on Chromium and WebKit. (Automated run 2026-09-28)</t>
        </is>
      </c>
      <c r="L6" s="12" t="inlineStr">
        <is>
          <t>Pass</t>
        </is>
      </c>
      <c r="M6" s="9" t="inlineStr">
        <is>
          <t>Yes</t>
        </is>
      </c>
      <c r="N6" s="10" t="n"/>
    </row>
    <row r="7">
      <c r="A7" s="9" t="inlineStr">
        <is>
          <t>LOGIN-008</t>
        </is>
      </c>
      <c r="B7" s="9" t="inlineStr">
        <is>
          <t>Login</t>
        </is>
      </c>
      <c r="C7" s="10" t="inlineStr">
        <is>
          <t>Login modal</t>
        </is>
      </c>
      <c r="D7" s="10" t="inlineStr">
        <is>
          <t>Close the modal without logging in (Close button and X icon)</t>
        </is>
      </c>
      <c r="E7" s="9" t="inlineStr">
        <is>
          <t>Functional</t>
        </is>
      </c>
      <c r="F7" s="9" t="inlineStr">
        <is>
          <t>Low</t>
        </is>
      </c>
      <c r="G7" s="10" t="inlineStr">
        <is>
          <t>Log in modal is open with credentials typed</t>
        </is>
      </c>
      <c r="H7" s="10" t="inlineStr">
        <is>
          <t>Valid username / password</t>
        </is>
      </c>
      <c r="I7" s="10" t="inlineStr">
        <is>
          <t>1. Click 'Close'
2. Reopen modal, click 'X'</t>
        </is>
      </c>
      <c r="J7" s="10" t="inlineStr">
        <is>
          <t>Modal closes each time; user stays logged out; no login request is sent</t>
        </is>
      </c>
      <c r="K7" s="11" t="inlineStr">
        <is>
          <t>As expected on Chromium and WebKit. (Automated run 2026-09-27)</t>
        </is>
      </c>
      <c r="L7" s="12" t="inlineStr">
        <is>
          <t>Pass</t>
        </is>
      </c>
      <c r="M7" s="9" t="inlineStr">
        <is>
          <t>Yes</t>
        </is>
      </c>
      <c r="N7" s="10" t="n"/>
    </row>
    <row r="8">
      <c r="A8" s="9" t="inlineStr">
        <is>
          <t>LOGIN-009</t>
        </is>
      </c>
      <c r="B8" s="9" t="inlineStr">
        <is>
          <t>Login</t>
        </is>
      </c>
      <c r="C8" s="10" t="inlineStr">
        <is>
          <t>Login</t>
        </is>
      </c>
      <c r="D8" s="10" t="inlineStr">
        <is>
          <t>Log in from Cart page and Product page</t>
        </is>
      </c>
      <c r="E8" s="9" t="inlineStr">
        <is>
          <t>Functional</t>
        </is>
      </c>
      <c r="F8" s="9" t="inlineStr">
        <is>
          <t>Medium</t>
        </is>
      </c>
      <c r="G8" s="10" t="inlineStr">
        <is>
          <t>User is logged out; Registered account from data/accounts.json</t>
        </is>
      </c>
      <c r="H8" s="10" t="inlineStr">
        <is>
          <t>Valid username / password</t>
        </is>
      </c>
      <c r="I8" s="10" t="inlineStr">
        <is>
          <t>1. Open cart.html and log in
2. Log out, open prod.html?idp_=1 and log in</t>
        </is>
      </c>
      <c r="J8" s="10" t="inlineStr">
        <is>
          <t>Login succeeds on both pages; user stays on the same page with 'Welcome &lt;username&gt;' shown</t>
        </is>
      </c>
      <c r="K8" s="11" t="inlineStr">
        <is>
          <t>As expected on Chromium and WebKit. (Automated run 2026-09-28)</t>
        </is>
      </c>
      <c r="L8" s="12" t="inlineStr">
        <is>
          <t>Pass</t>
        </is>
      </c>
      <c r="M8" s="9" t="inlineStr">
        <is>
          <t>Yes</t>
        </is>
      </c>
      <c r="N8" s="10" t="inlineStr">
        <is>
          <t>Login modal is duplicated in every page's HTML</t>
        </is>
      </c>
    </row>
    <row r="9">
      <c r="A9" s="9" t="inlineStr">
        <is>
          <t>LOGIN-010</t>
        </is>
      </c>
      <c r="B9" s="9" t="inlineStr">
        <is>
          <t>Login</t>
        </is>
      </c>
      <c r="C9" s="10" t="inlineStr">
        <is>
          <t>Login</t>
        </is>
      </c>
      <c r="D9" s="10" t="inlineStr">
        <is>
          <t>Switch account: log out user A, log in user B</t>
        </is>
      </c>
      <c r="E9" s="9" t="inlineStr">
        <is>
          <t>Functional</t>
        </is>
      </c>
      <c r="F9" s="9" t="inlineStr">
        <is>
          <t>Medium</t>
        </is>
      </c>
      <c r="G9" s="10" t="inlineStr">
        <is>
          <t>Two registered accounts</t>
        </is>
      </c>
      <c r="H9" s="10" t="inlineStr">
        <is>
          <t>User A, User B</t>
        </is>
      </c>
      <c r="I9" s="10" t="inlineStr">
        <is>
          <t>1. Log in as A
2. Log out
3. Log in as B</t>
        </is>
      </c>
      <c r="J9" s="10" t="inlineStr">
        <is>
          <t>Navbar shows 'Welcome &lt;B&gt;'; no data from A is displayed</t>
        </is>
      </c>
      <c r="K9" s="11" t="inlineStr">
        <is>
          <t>As expected on Chromium and WebKit. (Automated run 2026-09-28)</t>
        </is>
      </c>
      <c r="L9" s="12" t="inlineStr">
        <is>
          <t>Pass</t>
        </is>
      </c>
      <c r="M9" s="9" t="inlineStr">
        <is>
          <t>Yes</t>
        </is>
      </c>
      <c r="N9" s="10" t="n"/>
    </row>
    <row r="10">
      <c r="A10" s="9" t="inlineStr">
        <is>
          <t>LOGIN-011</t>
        </is>
      </c>
      <c r="B10" s="9" t="inlineStr">
        <is>
          <t>Login</t>
        </is>
      </c>
      <c r="C10" s="10" t="inlineStr">
        <is>
          <t>Validation</t>
        </is>
      </c>
      <c r="D10" s="10" t="inlineStr">
        <is>
          <t>Required fields: empty username and/or password</t>
        </is>
      </c>
      <c r="E10" s="9" t="inlineStr">
        <is>
          <t>Negative</t>
        </is>
      </c>
      <c r="F10" s="9" t="inlineStr">
        <is>
          <t>High</t>
        </is>
      </c>
      <c r="G10" s="10" t="inlineStr">
        <is>
          <t>Log in modal is open</t>
        </is>
      </c>
      <c r="H10" s="10" t="inlineStr">
        <is>
          <t>Set 1: Username='' / Password=''
Set 2: Username='' / Password=valid
Set 3: Username=valid / Password=''</t>
        </is>
      </c>
      <c r="I10" s="10" t="inlineStr">
        <is>
          <t>For each data set:
1. Fill the fields as given
2. Click 'Log in'</t>
        </is>
      </c>
      <c r="J10" s="10" t="inlineStr">
        <is>
          <t>Every set: alert 'Please fill out Username and Password.'; no login request sent; user stays logged out</t>
        </is>
      </c>
      <c r="K10" s="11" t="inlineStr">
        <is>
          <t>As expected on Chromium and WebKit, all 3 data sets. (Automated run 2026-09-27)</t>
        </is>
      </c>
      <c r="L10" s="12" t="inlineStr">
        <is>
          <t>Pass</t>
        </is>
      </c>
      <c r="M10" s="9" t="inlineStr">
        <is>
          <t>Yes</t>
        </is>
      </c>
      <c r="N10" s="10" t="inlineStr">
        <is>
          <t>Confirmed in client source (logIn()) | Merged LOGIN-012 and LOGIN-013 as data sets 2 and 3 (2026-09-26)</t>
        </is>
      </c>
    </row>
    <row r="11">
      <c r="A11" s="9" t="inlineStr">
        <is>
          <t>LOGIN-014</t>
        </is>
      </c>
      <c r="B11" s="9" t="inlineStr">
        <is>
          <t>Login</t>
        </is>
      </c>
      <c r="C11" s="10" t="inlineStr">
        <is>
          <t>Authentication</t>
        </is>
      </c>
      <c r="D11" s="10" t="inlineStr">
        <is>
          <t>Non-existent username</t>
        </is>
      </c>
      <c r="E11" s="9" t="inlineStr">
        <is>
          <t>Negative</t>
        </is>
      </c>
      <c r="F11" s="9" t="inlineStr">
        <is>
          <t>High</t>
        </is>
      </c>
      <c r="G11" s="10" t="inlineStr">
        <is>
          <t>Log in modal is open</t>
        </is>
      </c>
      <c r="H11" s="10" t="inlineStr">
        <is>
          <t>Username=random unique string</t>
        </is>
      </c>
      <c r="I11" s="10" t="inlineStr">
        <is>
          <t>1. Enter an unregistered username and any password
2. Click 'Log in'</t>
        </is>
      </c>
      <c r="J11" s="10" t="inlineStr">
        <is>
          <t>Alert 'User does not exist.'; user stays logged out</t>
        </is>
      </c>
      <c r="K11" s="11" t="inlineStr">
        <is>
          <t>As expected on Chromium and WebKit. (Automated run 2026-09-27)</t>
        </is>
      </c>
      <c r="L11" s="12" t="inlineStr">
        <is>
          <t>Pass</t>
        </is>
      </c>
      <c r="M11" s="9" t="inlineStr">
        <is>
          <t>Yes</t>
        </is>
      </c>
      <c r="N11" s="10" t="n"/>
    </row>
    <row r="12">
      <c r="A12" s="9" t="inlineStr">
        <is>
          <t>LOGIN-015</t>
        </is>
      </c>
      <c r="B12" s="9" t="inlineStr">
        <is>
          <t>Login</t>
        </is>
      </c>
      <c r="C12" s="10" t="inlineStr">
        <is>
          <t>Authentication</t>
        </is>
      </c>
      <c r="D12" s="10" t="inlineStr">
        <is>
          <t>Existing username, wrong password</t>
        </is>
      </c>
      <c r="E12" s="9" t="inlineStr">
        <is>
          <t>Negative</t>
        </is>
      </c>
      <c r="F12" s="9" t="inlineStr">
        <is>
          <t>High</t>
        </is>
      </c>
      <c r="G12" s="10" t="inlineStr">
        <is>
          <t>Registered account from data/accounts.json</t>
        </is>
      </c>
      <c r="H12" s="10" t="inlineStr">
        <is>
          <t>Valid username / wrong password</t>
        </is>
      </c>
      <c r="I12" s="10" t="inlineStr">
        <is>
          <t>1. Enter valid username and wrong password
2. Click 'Log in'</t>
        </is>
      </c>
      <c r="J12" s="10" t="inlineStr">
        <is>
          <t>Alert 'Wrong password.'; user stays logged out</t>
        </is>
      </c>
      <c r="K12" s="11" t="inlineStr">
        <is>
          <t>As expected on Chromium and WebKit. (Automated run 2026-09-27)</t>
        </is>
      </c>
      <c r="L12" s="12" t="inlineStr">
        <is>
          <t>Pass</t>
        </is>
      </c>
      <c r="M12" s="9" t="inlineStr">
        <is>
          <t>Yes</t>
        </is>
      </c>
      <c r="N12" s="10" t="n"/>
    </row>
    <row r="13">
      <c r="A13" s="9" t="inlineStr">
        <is>
          <t>LOGIN-016</t>
        </is>
      </c>
      <c r="B13" s="9" t="inlineStr">
        <is>
          <t>Login</t>
        </is>
      </c>
      <c r="C13" s="10" t="inlineStr">
        <is>
          <t>Authentication</t>
        </is>
      </c>
      <c r="D13" s="10" t="inlineStr">
        <is>
          <t>Password is case-sensitive</t>
        </is>
      </c>
      <c r="E13" s="9" t="inlineStr">
        <is>
          <t>Negative</t>
        </is>
      </c>
      <c r="F13" s="9" t="inlineStr">
        <is>
          <t>Medium</t>
        </is>
      </c>
      <c r="G13" s="10" t="inlineStr">
        <is>
          <t>Registered account from data/accounts.json</t>
        </is>
      </c>
      <c r="H13" s="10" t="inlineStr">
        <is>
          <t>Valid username / password with swapped case</t>
        </is>
      </c>
      <c r="I13" s="10" t="inlineStr">
        <is>
          <t>1. Enter valid username and the password in different case
2. Click 'Log in'</t>
        </is>
      </c>
      <c r="J13" s="10" t="inlineStr">
        <is>
          <t>Alert 'Wrong password.'; user stays logged out</t>
        </is>
      </c>
      <c r="K13" s="11" t="inlineStr">
        <is>
          <t>As expected on Chromium and WebKit. (Automated run 2026-09-27)</t>
        </is>
      </c>
      <c r="L13" s="12" t="inlineStr">
        <is>
          <t>Pass</t>
        </is>
      </c>
      <c r="M13" s="9" t="inlineStr">
        <is>
          <t>Yes</t>
        </is>
      </c>
      <c r="N13" s="10" t="n"/>
    </row>
    <row r="14">
      <c r="A14" s="9" t="inlineStr">
        <is>
          <t>LOGIN-017</t>
        </is>
      </c>
      <c r="B14" s="9" t="inlineStr">
        <is>
          <t>Login</t>
        </is>
      </c>
      <c r="C14" s="10" t="inlineStr">
        <is>
          <t>Security</t>
        </is>
      </c>
      <c r="D14" s="10" t="inlineStr">
        <is>
          <t>SQL injection string in username</t>
        </is>
      </c>
      <c r="E14" s="9" t="inlineStr">
        <is>
          <t>Negative</t>
        </is>
      </c>
      <c r="F14" s="9" t="inlineStr">
        <is>
          <t>Medium</t>
        </is>
      </c>
      <c r="G14" s="10" t="inlineStr">
        <is>
          <t>Log in modal is open</t>
        </is>
      </c>
      <c r="H14" s="10" t="inlineStr">
        <is>
          <t>Username=' OR '1'='1 / Password=' OR '1'='1</t>
        </is>
      </c>
      <c r="I14" s="10" t="inlineStr">
        <is>
          <t>1. Enter the payload in both fields
2. Click 'Log in'</t>
        </is>
      </c>
      <c r="J14" s="10" t="inlineStr">
        <is>
          <t>Login is rejected ('User does not exist.'); no server error; user stays logged out</t>
        </is>
      </c>
      <c r="K14" s="11" t="inlineStr">
        <is>
          <t>Not automated on purpose: sends a SQL-injection payload to a third-party site. Run manually with the site owner's consent, or on an owned environment.</t>
        </is>
      </c>
      <c r="L14" s="12" t="inlineStr">
        <is>
          <t>Not Run</t>
        </is>
      </c>
      <c r="M14" s="9" t="inlineStr">
        <is>
          <t>Yes</t>
        </is>
      </c>
      <c r="N14" s="10" t="n"/>
    </row>
    <row r="15">
      <c r="A15" s="9" t="inlineStr">
        <is>
          <t>LOGIN-018</t>
        </is>
      </c>
      <c r="B15" s="9" t="inlineStr">
        <is>
          <t>Login</t>
        </is>
      </c>
      <c r="C15" s="10" t="inlineStr">
        <is>
          <t>Security</t>
        </is>
      </c>
      <c r="D15" s="10" t="inlineStr">
        <is>
          <t>Script payload in username is not executed</t>
        </is>
      </c>
      <c r="E15" s="9" t="inlineStr">
        <is>
          <t>Negative</t>
        </is>
      </c>
      <c r="F15" s="9" t="inlineStr">
        <is>
          <t>Medium</t>
        </is>
      </c>
      <c r="G15" s="10" t="inlineStr">
        <is>
          <t>Log in modal is open</t>
        </is>
      </c>
      <c r="H15" s="10" t="inlineStr">
        <is>
          <t>Username=&lt;script&gt;alert('xss')&lt;/script&gt;</t>
        </is>
      </c>
      <c r="I15" s="10" t="inlineStr">
        <is>
          <t>1. Enter the payload and any password
2. Click 'Log in'</t>
        </is>
      </c>
      <c r="J15" s="10" t="inlineStr">
        <is>
          <t>Only the app's 'User does not exist.' alert appears; injected script is not executed</t>
        </is>
      </c>
      <c r="K15" s="11" t="inlineStr">
        <is>
          <t>Not automated on purpose: sends a script-injection payload to a third-party site. Run manually with the site owner's consent, or on an owned environment.</t>
        </is>
      </c>
      <c r="L15" s="12" t="inlineStr">
        <is>
          <t>Not Run</t>
        </is>
      </c>
      <c r="M15" s="9" t="inlineStr">
        <is>
          <t>Yes</t>
        </is>
      </c>
      <c r="N15" s="10" t="n"/>
    </row>
    <row r="16">
      <c r="A16" s="9" t="inlineStr">
        <is>
          <t>LOGIN-019</t>
        </is>
      </c>
      <c r="B16" s="9" t="inlineStr">
        <is>
          <t>Login</t>
        </is>
      </c>
      <c r="C16" s="10" t="inlineStr">
        <is>
          <t>Session</t>
        </is>
      </c>
      <c r="D16" s="10" t="inlineStr">
        <is>
          <t>Tampered session cookie is rejected</t>
        </is>
      </c>
      <c r="E16" s="9" t="inlineStr">
        <is>
          <t>Negative</t>
        </is>
      </c>
      <c r="F16" s="9" t="inlineStr">
        <is>
          <t>Medium</t>
        </is>
      </c>
      <c r="G16" s="10" t="inlineStr">
        <is>
          <t>User is logged out</t>
        </is>
      </c>
      <c r="H16" s="10" t="inlineStr">
        <is>
          <t>Cookie tokenp_=invalid-token</t>
        </is>
      </c>
      <c r="I16" s="10" t="inlineStr">
        <is>
          <t>1. Set cookie tokenp_ to an arbitrary value
2. Reload home page</t>
        </is>
      </c>
      <c r="J16" s="10" t="inlineStr">
        <is>
          <t>User is NOT shown as logged in; an error is shown (client code alerts 'Bad parameter, token malformed.')</t>
        </is>
      </c>
      <c r="K16" s="11" t="inlineStr">
        <is>
          <t>As expected on Chromium and WebKit. (Automated run 2026-09-28)</t>
        </is>
      </c>
      <c r="L16" s="12" t="inlineStr">
        <is>
          <t>Pass</t>
        </is>
      </c>
      <c r="M16" s="9" t="inlineStr">
        <is>
          <t>Yes</t>
        </is>
      </c>
      <c r="N16" s="10" t="n"/>
    </row>
    <row r="17">
      <c r="A17" s="9" t="inlineStr">
        <is>
          <t>LOGIN-020</t>
        </is>
      </c>
      <c r="B17" s="9" t="inlineStr">
        <is>
          <t>Login</t>
        </is>
      </c>
      <c r="C17" s="10" t="inlineStr">
        <is>
          <t>Session</t>
        </is>
      </c>
      <c r="D17" s="10" t="inlineStr">
        <is>
          <t>Expired session token</t>
        </is>
      </c>
      <c r="E17" s="9" t="inlineStr">
        <is>
          <t>Negative</t>
        </is>
      </c>
      <c r="F17" s="9" t="inlineStr">
        <is>
          <t>Low</t>
        </is>
      </c>
      <c r="G17" s="10" t="inlineStr">
        <is>
          <t>A token that has expired</t>
        </is>
      </c>
      <c r="H17" s="10" t="inlineStr">
        <is>
          <t>Expired tokenp_ cookie</t>
        </is>
      </c>
      <c r="I17" s="10" t="inlineStr">
        <is>
          <t>1. Load any page with an expired token</t>
        </is>
      </c>
      <c r="J17" s="10" t="inlineStr">
        <is>
          <t>Alert 'Your token has expired, please login again.'; user shown as logged out</t>
        </is>
      </c>
      <c r="K17" s="11" t="inlineStr">
        <is>
          <t>Blocked: no way to obtain an expired token — the token lifetime is not documented and cannot be shortened on a third-party site.</t>
        </is>
      </c>
      <c r="L17" s="12" t="inlineStr">
        <is>
          <t>Blocked</t>
        </is>
      </c>
      <c r="M17" s="9" t="inlineStr">
        <is>
          <t>No</t>
        </is>
      </c>
      <c r="N17" s="10" t="inlineStr">
        <is>
          <t>Manual: requires an expired token; expiry time is not documented</t>
        </is>
      </c>
    </row>
    <row r="18">
      <c r="A18" s="9" t="inlineStr">
        <is>
          <t>LOGIN-021</t>
        </is>
      </c>
      <c r="B18" s="9" t="inlineStr">
        <is>
          <t>Login</t>
        </is>
      </c>
      <c r="C18" s="10" t="inlineStr">
        <is>
          <t>Validation</t>
        </is>
      </c>
      <c r="D18" s="10" t="inlineStr">
        <is>
          <t>Whitespace-only username and password</t>
        </is>
      </c>
      <c r="E18" s="9" t="inlineStr">
        <is>
          <t>Edge</t>
        </is>
      </c>
      <c r="F18" s="9" t="inlineStr">
        <is>
          <t>Medium</t>
        </is>
      </c>
      <c r="G18" s="10" t="inlineStr">
        <is>
          <t>Log in modal is open</t>
        </is>
      </c>
      <c r="H18" s="10" t="inlineStr">
        <is>
          <t>Username='   ' / Password='   '</t>
        </is>
      </c>
      <c r="I18" s="10" t="inlineStr">
        <is>
          <t>1. Enter only spaces in both fields
2. Click 'Log in'</t>
        </is>
      </c>
      <c r="J18" s="10" t="inlineStr">
        <is>
          <t>Treated as empty: alert 'Please fill out Username and Password.'</t>
        </is>
      </c>
      <c r="K18" s="11" t="inlineStr">
        <is>
          <t>Defect reproduced on Chromium and WebKit (DEF-01): Error: expect(received).toBe(expected) // Object.is equality Expected: "Please fill out Username and Password." Received: "Wrong password." (Automated run 2026-09-27)</t>
        </is>
      </c>
      <c r="L18" s="12" t="inlineStr">
        <is>
          <t>Fail</t>
        </is>
      </c>
      <c r="M18" s="9" t="inlineStr">
        <is>
          <t>Yes</t>
        </is>
      </c>
      <c r="N18" s="10" t="inlineStr">
        <is>
          <t>Suspected defect DEF-01: client only checks == '' so spaces are sent to the server</t>
        </is>
      </c>
    </row>
    <row r="19">
      <c r="A19" s="9" t="inlineStr">
        <is>
          <t>LOGIN-022</t>
        </is>
      </c>
      <c r="B19" s="9" t="inlineStr">
        <is>
          <t>Login</t>
        </is>
      </c>
      <c r="C19" s="10" t="inlineStr">
        <is>
          <t>Input handling</t>
        </is>
      </c>
      <c r="D19" s="10" t="inlineStr">
        <is>
          <t>Leading/trailing spaces around a valid username</t>
        </is>
      </c>
      <c r="E19" s="9" t="inlineStr">
        <is>
          <t>Edge</t>
        </is>
      </c>
      <c r="F19" s="9" t="inlineStr">
        <is>
          <t>Medium</t>
        </is>
      </c>
      <c r="G19" s="10" t="inlineStr">
        <is>
          <t>Registered account from data/accounts.json</t>
        </is>
      </c>
      <c r="H19" s="10" t="inlineStr">
        <is>
          <t>Username='  &lt;valid&gt;  ' / valid password</t>
        </is>
      </c>
      <c r="I19" s="10" t="inlineStr">
        <is>
          <t>1. Enter valid username wrapped in spaces
2. Click 'Log in'</t>
        </is>
      </c>
      <c r="J19" s="10" t="inlineStr">
        <is>
          <t>Username is trimmed and login succeeds (or a clear, consistent error). Clarify expected rule with PO</t>
        </is>
      </c>
      <c r="K19" s="11" t="inlineStr">
        <is>
          <t>Blocked: the expected rule is not defined. Awaiting PO decision.</t>
        </is>
      </c>
      <c r="L19" s="12" t="inlineStr">
        <is>
          <t>Blocked</t>
        </is>
      </c>
      <c r="M19" s="9" t="inlineStr">
        <is>
          <t>Yes</t>
        </is>
      </c>
      <c r="N19" s="10" t="inlineStr">
        <is>
          <t>Client does not trim input</t>
        </is>
      </c>
    </row>
    <row r="20">
      <c r="A20" s="9" t="inlineStr">
        <is>
          <t>LOGIN-023</t>
        </is>
      </c>
      <c r="B20" s="9" t="inlineStr">
        <is>
          <t>Login</t>
        </is>
      </c>
      <c r="C20" s="10" t="inlineStr">
        <is>
          <t>Input handling</t>
        </is>
      </c>
      <c r="D20" s="10" t="inlineStr">
        <is>
          <t>Username in different letter case</t>
        </is>
      </c>
      <c r="E20" s="9" t="inlineStr">
        <is>
          <t>Edge</t>
        </is>
      </c>
      <c r="F20" s="9" t="inlineStr">
        <is>
          <t>Medium</t>
        </is>
      </c>
      <c r="G20" s="10" t="inlineStr">
        <is>
          <t>Registered account from data/accounts.json</t>
        </is>
      </c>
      <c r="H20" s="10" t="inlineStr">
        <is>
          <t>Username in UPPERCASE / valid password</t>
        </is>
      </c>
      <c r="I20" s="10" t="inlineStr">
        <is>
          <t>1. Enter the valid username in uppercase
2. Click 'Log in'</t>
        </is>
      </c>
      <c r="J20" s="10" t="inlineStr">
        <is>
          <t>Behaviour matches the documented rule (case-sensitive usernames -&gt; 'User does not exist.'); must never log in to a different account</t>
        </is>
      </c>
      <c r="K20" s="11" t="inlineStr">
        <is>
          <t>Blocked: the expected rule is not defined. Awaiting PO decision.</t>
        </is>
      </c>
      <c r="L20" s="12" t="inlineStr">
        <is>
          <t>Blocked</t>
        </is>
      </c>
      <c r="M20" s="9" t="inlineStr">
        <is>
          <t>Yes</t>
        </is>
      </c>
      <c r="N20" s="10" t="inlineStr">
        <is>
          <t>Clarify rule with PO</t>
        </is>
      </c>
    </row>
    <row r="21">
      <c r="A21" s="9" t="inlineStr">
        <is>
          <t>LOGIN-024</t>
        </is>
      </c>
      <c r="B21" s="9" t="inlineStr">
        <is>
          <t>Login</t>
        </is>
      </c>
      <c r="C21" s="10" t="inlineStr">
        <is>
          <t>Input handling</t>
        </is>
      </c>
      <c r="D21" s="10" t="inlineStr">
        <is>
          <t>Very long username and password (1000 chars)</t>
        </is>
      </c>
      <c r="E21" s="9" t="inlineStr">
        <is>
          <t>Edge</t>
        </is>
      </c>
      <c r="F21" s="9" t="inlineStr">
        <is>
          <t>Low</t>
        </is>
      </c>
      <c r="G21" s="10" t="inlineStr">
        <is>
          <t>Log in modal is open</t>
        </is>
      </c>
      <c r="H21" s="10" t="inlineStr">
        <is>
          <t>1000-char strings</t>
        </is>
      </c>
      <c r="I21" s="10" t="inlineStr">
        <is>
          <t>1. Enter 1000 characters in both fields
2. Click 'Log in'</t>
        </is>
      </c>
      <c r="J21" s="10" t="inlineStr">
        <is>
          <t>Graceful rejection ('User does not exist.'); no crash, freeze or layout break</t>
        </is>
      </c>
      <c r="K21" s="11" t="inlineStr">
        <is>
          <t>As expected on Chromium and WebKit. (Automated run 2026-09-27)</t>
        </is>
      </c>
      <c r="L21" s="12" t="inlineStr">
        <is>
          <t>Pass</t>
        </is>
      </c>
      <c r="M21" s="9" t="inlineStr">
        <is>
          <t>Yes</t>
        </is>
      </c>
      <c r="N21" s="10" t="n"/>
    </row>
    <row r="22">
      <c r="A22" s="9" t="inlineStr">
        <is>
          <t>LOGIN-025</t>
        </is>
      </c>
      <c r="B22" s="9" t="inlineStr">
        <is>
          <t>Login</t>
        </is>
      </c>
      <c r="C22" s="10" t="inlineStr">
        <is>
          <t>Input handling</t>
        </is>
      </c>
      <c r="D22" s="10" t="inlineStr">
        <is>
          <t>Unicode / special characters in credentials</t>
        </is>
      </c>
      <c r="E22" s="9" t="inlineStr">
        <is>
          <t>Edge</t>
        </is>
      </c>
      <c r="F22" s="9" t="inlineStr">
        <is>
          <t>Low</t>
        </is>
      </c>
      <c r="G22" s="10" t="inlineStr">
        <is>
          <t>Account registered with unicode username/password</t>
        </is>
      </c>
      <c r="H22" s="10" t="inlineStr">
        <is>
          <t>e.g. 'tëst_用户_😀' / 'pässwörd!@#'</t>
        </is>
      </c>
      <c r="I22" s="10" t="inlineStr">
        <is>
          <t>1. Enter the unicode credentials
2. Click 'Log in'</t>
        </is>
      </c>
      <c r="J22" s="10" t="inlineStr">
        <is>
          <t>Login succeeds; 'Welcome &lt;unicode username&gt;' renders correctly</t>
        </is>
      </c>
      <c r="K22" s="11" t="inlineStr">
        <is>
          <t>As expected on Chromium and WebKit. (Automated run 2026-09-28)</t>
        </is>
      </c>
      <c r="L22" s="12" t="inlineStr">
        <is>
          <t>Pass</t>
        </is>
      </c>
      <c r="M22" s="9" t="inlineStr">
        <is>
          <t>Yes</t>
        </is>
      </c>
      <c r="N22" s="10" t="inlineStr">
        <is>
          <t>Needs a dedicated account (sign up first)</t>
        </is>
      </c>
    </row>
    <row r="23">
      <c r="A23" s="9" t="inlineStr">
        <is>
          <t>LOGIN-026</t>
        </is>
      </c>
      <c r="B23" s="9" t="inlineStr">
        <is>
          <t>Login</t>
        </is>
      </c>
      <c r="C23" s="10" t="inlineStr">
        <is>
          <t>Usability</t>
        </is>
      </c>
      <c r="D23" s="10" t="inlineStr">
        <is>
          <t>Submit with Enter key</t>
        </is>
      </c>
      <c r="E23" s="9" t="inlineStr">
        <is>
          <t>Edge</t>
        </is>
      </c>
      <c r="F23" s="9" t="inlineStr">
        <is>
          <t>Low</t>
        </is>
      </c>
      <c r="G23" s="10" t="inlineStr">
        <is>
          <t>Log in modal is open</t>
        </is>
      </c>
      <c r="H23" s="10" t="inlineStr">
        <is>
          <t>Valid username / password</t>
        </is>
      </c>
      <c r="I23" s="10" t="inlineStr">
        <is>
          <t>1. Fill both fields
2. Press Enter in Password field</t>
        </is>
      </c>
      <c r="J23" s="10" t="inlineStr">
        <is>
          <t>Login is submitted (standard form behaviour)</t>
        </is>
      </c>
      <c r="K23" s="11" t="inlineStr">
        <is>
          <t>Defect reproduced on Chromium and WebKit (DEF-08): Error: expect(locator).toHaveText(expected) failed Expected: "Welcome pwexam_muknq2l0_w2_j6pk" Received: "" (Automated run 2026-09-28)</t>
        </is>
      </c>
      <c r="L23" s="12" t="inlineStr">
        <is>
          <t>Fail</t>
        </is>
      </c>
      <c r="M23" s="9" t="inlineStr">
        <is>
          <t>Yes</t>
        </is>
      </c>
      <c r="N23" s="10" t="inlineStr">
        <is>
          <t>Form has no submit button, Enter likely does nothing -&gt; usability issue DEF-08</t>
        </is>
      </c>
    </row>
    <row r="24">
      <c r="A24" s="9" t="inlineStr">
        <is>
          <t>LOGIN-027</t>
        </is>
      </c>
      <c r="B24" s="9" t="inlineStr">
        <is>
          <t>Login</t>
        </is>
      </c>
      <c r="C24" s="10" t="inlineStr">
        <is>
          <t>Concurrency</t>
        </is>
      </c>
      <c r="D24" s="10" t="inlineStr">
        <is>
          <t>Double-click the Log in button</t>
        </is>
      </c>
      <c r="E24" s="9" t="inlineStr">
        <is>
          <t>Edge</t>
        </is>
      </c>
      <c r="F24" s="9" t="inlineStr">
        <is>
          <t>Low</t>
        </is>
      </c>
      <c r="G24" s="10" t="inlineStr">
        <is>
          <t>Registered account from data/accounts.json</t>
        </is>
      </c>
      <c r="H24" s="10" t="inlineStr">
        <is>
          <t>Valid username / password</t>
        </is>
      </c>
      <c r="I24" s="10" t="inlineStr">
        <is>
          <t>1. Fill valid credentials
2. Double-click 'Log in' quickly</t>
        </is>
      </c>
      <c r="J24" s="10" t="inlineStr">
        <is>
          <t>User is logged in once; no duplicate alerts or errors</t>
        </is>
      </c>
      <c r="K24" s="11" t="inlineStr">
        <is>
          <t>As expected on Chromium and WebKit. (Automated run 2026-09-28)</t>
        </is>
      </c>
      <c r="L24" s="12" t="inlineStr">
        <is>
          <t>Pass</t>
        </is>
      </c>
      <c r="M24" s="9" t="inlineStr">
        <is>
          <t>Yes</t>
        </is>
      </c>
      <c r="N24" s="10" t="inlineStr">
        <is>
          <t>Manual/exploratory</t>
        </is>
      </c>
    </row>
    <row r="25">
      <c r="A25" s="9" t="inlineStr">
        <is>
          <t>LOGIN-028</t>
        </is>
      </c>
      <c r="B25" s="9" t="inlineStr">
        <is>
          <t>Login</t>
        </is>
      </c>
      <c r="C25" s="10" t="inlineStr">
        <is>
          <t>Login modal</t>
        </is>
      </c>
      <c r="D25" s="10" t="inlineStr">
        <is>
          <t>Modal state after a failed attempt</t>
        </is>
      </c>
      <c r="E25" s="9" t="inlineStr">
        <is>
          <t>Edge</t>
        </is>
      </c>
      <c r="F25" s="9" t="inlineStr">
        <is>
          <t>Low</t>
        </is>
      </c>
      <c r="G25" s="10" t="inlineStr">
        <is>
          <t>Log in modal is open</t>
        </is>
      </c>
      <c r="H25" s="10" t="inlineStr">
        <is>
          <t>Wrong password</t>
        </is>
      </c>
      <c r="I25" s="10" t="inlineStr">
        <is>
          <t>1. Fail a login
2. Dismiss alert, correct the password
3. Click 'Log in'</t>
        </is>
      </c>
      <c r="J25" s="10" t="inlineStr">
        <is>
          <t>Second attempt logs in successfully without reopening the modal</t>
        </is>
      </c>
      <c r="K25" s="11" t="inlineStr">
        <is>
          <t>As expected on Chromium and WebKit. (Automated run 2026-09-27)</t>
        </is>
      </c>
      <c r="L25" s="12" t="inlineStr">
        <is>
          <t>Pass</t>
        </is>
      </c>
      <c r="M25" s="9" t="inlineStr">
        <is>
          <t>Yes</t>
        </is>
      </c>
      <c r="N25" s="10" t="n"/>
    </row>
    <row r="26">
      <c r="A26" s="9" t="inlineStr">
        <is>
          <t>LOGIN-029</t>
        </is>
      </c>
      <c r="B26" s="9" t="inlineStr">
        <is>
          <t>Login</t>
        </is>
      </c>
      <c r="C26" s="10" t="inlineStr">
        <is>
          <t>Error handling</t>
        </is>
      </c>
      <c r="D26" s="10" t="inlineStr">
        <is>
          <t>Login when the API is unavailable</t>
        </is>
      </c>
      <c r="E26" s="9" t="inlineStr">
        <is>
          <t>Negative</t>
        </is>
      </c>
      <c r="F26" s="9" t="inlineStr">
        <is>
          <t>High</t>
        </is>
      </c>
      <c r="G26" s="10" t="inlineStr">
        <is>
          <t>Log in modal is open; /login request fails (network error or 5xx)</t>
        </is>
      </c>
      <c r="H26" s="10" t="inlineStr">
        <is>
          <t>Valid username / password</t>
        </is>
      </c>
      <c r="I26" s="10" t="inlineStr">
        <is>
          <t>1. Block or fail the POST /login request
2. Submit valid credentials</t>
        </is>
      </c>
      <c r="J26" s="10" t="inlineStr">
        <is>
          <t>A clear error message is shown (e.g. 'Service unavailable, try again'); modal stays open; user is not left without feedback</t>
        </is>
      </c>
      <c r="K26" s="11" t="inlineStr">
        <is>
          <t>Defect reproduced on Chromium and WebKit (DEF-11): Error: The action failed silently: no alert and no inline error message Expected: true Received: false (Automated run 2026-09-28)</t>
        </is>
      </c>
      <c r="L26" s="12" t="inlineStr">
        <is>
          <t>Fail</t>
        </is>
      </c>
      <c r="M26" s="9" t="inlineStr">
        <is>
          <t>Yes</t>
        </is>
      </c>
      <c r="N26" s="10" t="inlineStr">
        <is>
          <t>Suspected defect DEF-11: logIn() has no error callback, so a failed request gives no feedback. Automatable by aborting the route. Expected result follows common industry practice: DemoBlaze publishes no requirement for this. Confirm with PO.</t>
        </is>
      </c>
    </row>
    <row r="27">
      <c r="A27" s="9" t="inlineStr">
        <is>
          <t>LOGIN-030</t>
        </is>
      </c>
      <c r="B27" s="9" t="inlineStr">
        <is>
          <t>Login</t>
        </is>
      </c>
      <c r="C27" s="10" t="inlineStr">
        <is>
          <t>Security</t>
        </is>
      </c>
      <c r="D27" s="10" t="inlineStr">
        <is>
          <t>Repeated wrong passwords (brute-force protection)</t>
        </is>
      </c>
      <c r="E27" s="9" t="inlineStr">
        <is>
          <t>Negative</t>
        </is>
      </c>
      <c r="F27" s="9" t="inlineStr">
        <is>
          <t>Medium</t>
        </is>
      </c>
      <c r="G27" s="10" t="inlineStr">
        <is>
          <t>Registered account</t>
        </is>
      </c>
      <c r="H27" s="10" t="inlineStr">
        <is>
          <t>Valid username / 10 different wrong passwords</t>
        </is>
      </c>
      <c r="I27" s="10" t="inlineStr">
        <is>
          <t>1. Submit a wrong password 10 times in a row
2. Submit the correct password</t>
        </is>
      </c>
      <c r="J27" s="10" t="inlineStr">
        <is>
          <t>After N failures the account or client is throttled (lockout, delay or captcha) and the event is logged</t>
        </is>
      </c>
      <c r="K27" s="11" t="inlineStr">
        <is>
          <t>Defect reproduced on Chromium and WebKit (DEF-13): Error: The action failed silently: no alert and no inline error message Expected: true Received: false (Automated run 2026-09-28)</t>
        </is>
      </c>
      <c r="L27" s="12" t="inlineStr">
        <is>
          <t>Fail</t>
        </is>
      </c>
      <c r="M27" s="9" t="inlineStr">
        <is>
          <t>Yes</t>
        </is>
      </c>
      <c r="N27" s="10" t="inlineStr">
        <is>
          <t>Suspected defect DEF-13. Run on the suite's own throwaway account (10 attempts), not as an attack. Expected result follows common industry practice: DemoBlaze publishes no requirement for this. Confirm with PO.</t>
        </is>
      </c>
    </row>
    <row r="28">
      <c r="A28" s="9" t="inlineStr">
        <is>
          <t>LOGIN-031</t>
        </is>
      </c>
      <c r="B28" s="9" t="inlineStr">
        <is>
          <t>Login</t>
        </is>
      </c>
      <c r="C28" s="10" t="inlineStr">
        <is>
          <t>Responsive</t>
        </is>
      </c>
      <c r="D28" s="10" t="inlineStr">
        <is>
          <t>Log in on a phone-sized viewport</t>
        </is>
      </c>
      <c r="E28" s="9" t="inlineStr">
        <is>
          <t>Functional</t>
        </is>
      </c>
      <c r="F28" s="9" t="inlineStr">
        <is>
          <t>Medium</t>
        </is>
      </c>
      <c r="G28" s="10" t="inlineStr">
        <is>
          <t>Viewport 390x844 (e.g. iPhone); user is logged out</t>
        </is>
      </c>
      <c r="H28" s="10" t="inlineStr">
        <is>
          <t>Valid username / password</t>
        </is>
      </c>
      <c r="I28" s="10" t="inlineStr">
        <is>
          <t>1. Set the viewport to 390x844
2. Check the navbar links
3. Click 'Log in'; check the modal fits the screen
4. Submit valid credentials</t>
        </is>
      </c>
      <c r="J28" s="10" t="inlineStr">
        <is>
          <t>Navbar links (Home, Cart, Log in, Sign up) are visible and usable; the Log in modal fits the screen width; login succeeds and 'Welcome &lt;username&gt;' is shown</t>
        </is>
      </c>
      <c r="K28" s="11" t="inlineStr">
        <is>
          <t>As expected on Chromium and WebKit. Re-run after a first attempt failed (see Change Log). (Automated run 2026-09-28)</t>
        </is>
      </c>
      <c r="L28" s="12" t="inlineStr">
        <is>
          <t>Pass</t>
        </is>
      </c>
      <c r="M28" s="9" t="inlineStr">
        <is>
          <t>Yes</t>
        </is>
      </c>
      <c r="N28" s="10" t="inlineStr">
        <is>
          <t>Revised 2026-09-28: the site's navbar never collapses at phone width (#navbarExample lacks Bootstrap's 'collapse' class), so the original 'open the hamburger' step does not apply</t>
        </is>
      </c>
    </row>
  </sheetData>
  <autoFilter ref="A1:N28"/>
  <conditionalFormatting sqref="L2:L2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L2:L28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4" customWidth="1" min="4" max="4"/>
    <col width="11" customWidth="1" min="5" max="5"/>
    <col width="9" customWidth="1" min="6" max="6"/>
    <col width="28" customWidth="1" min="7" max="7"/>
    <col width="26" customWidth="1" min="8" max="8"/>
    <col width="40" customWidth="1" min="9" max="9"/>
    <col width="46" customWidth="1" min="10" max="10"/>
    <col width="26" customWidth="1" min="11" max="11"/>
    <col width="10" customWidth="1" min="12" max="12"/>
    <col width="10" customWidth="1" min="13" max="13"/>
    <col width="36" customWidth="1" min="14" max="14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Data</t>
        </is>
      </c>
      <c r="I1" s="4" t="inlineStr">
        <is>
          <t>Steps</t>
        </is>
      </c>
      <c r="J1" s="4" t="inlineStr">
        <is>
          <t>Expected Result</t>
        </is>
      </c>
      <c r="K1" s="4" t="inlineStr">
        <is>
          <t>Actual Result</t>
        </is>
      </c>
      <c r="L1" s="4" t="inlineStr">
        <is>
          <t>Status</t>
        </is>
      </c>
      <c r="M1" s="4" t="inlineStr">
        <is>
          <t>Automate</t>
        </is>
      </c>
      <c r="N1" s="4" t="inlineStr">
        <is>
          <t>Notes</t>
        </is>
      </c>
    </row>
    <row r="2">
      <c r="A2" s="9" t="inlineStr">
        <is>
          <t>CART-001</t>
        </is>
      </c>
      <c r="B2" s="9" t="inlineStr">
        <is>
          <t>Cart</t>
        </is>
      </c>
      <c r="C2" s="10" t="inlineStr">
        <is>
          <t>Add to cart</t>
        </is>
      </c>
      <c r="D2" s="10" t="inlineStr">
        <is>
          <t>Guest adds a product to cart</t>
        </is>
      </c>
      <c r="E2" s="9" t="inlineStr">
        <is>
          <t>Functional</t>
        </is>
      </c>
      <c r="F2" s="9" t="inlineStr">
        <is>
          <t>High</t>
        </is>
      </c>
      <c r="G2" s="10" t="inlineStr">
        <is>
          <t>User is logged out</t>
        </is>
      </c>
      <c r="H2" s="10" t="inlineStr">
        <is>
          <t>Product: Samsung galaxy s6</t>
        </is>
      </c>
      <c r="I2" s="10" t="inlineStr">
        <is>
          <t>1. Open the product page
2. Click 'Add to cart'
3. Accept alert
4. Open Cart</t>
        </is>
      </c>
      <c r="J2" s="10" t="inlineStr">
        <is>
          <t>Alert 'Product added'; Cart shows 1 row with image, title and price matching the product page; Total = product price</t>
        </is>
      </c>
      <c r="K2" s="11" t="inlineStr">
        <is>
          <t>As expected on Chromium and WebKit. (Automated run 2026-09-27)</t>
        </is>
      </c>
      <c r="L2" s="12" t="inlineStr">
        <is>
          <t>Pass</t>
        </is>
      </c>
      <c r="M2" s="9" t="inlineStr">
        <is>
          <t>Yes</t>
        </is>
      </c>
      <c r="N2" s="10" t="inlineStr">
        <is>
          <t>Guest cart is keyed by the 'user' cookie</t>
        </is>
      </c>
    </row>
    <row r="3">
      <c r="A3" s="9" t="inlineStr">
        <is>
          <t>CART-002</t>
        </is>
      </c>
      <c r="B3" s="9" t="inlineStr">
        <is>
          <t>Cart</t>
        </is>
      </c>
      <c r="C3" s="10" t="inlineStr">
        <is>
          <t>Add to cart</t>
        </is>
      </c>
      <c r="D3" s="10" t="inlineStr">
        <is>
          <t>Logged-in user adds a product to cart</t>
        </is>
      </c>
      <c r="E3" s="9" t="inlineStr">
        <is>
          <t>Functional</t>
        </is>
      </c>
      <c r="F3" s="9" t="inlineStr">
        <is>
          <t>High</t>
        </is>
      </c>
      <c r="G3" s="10" t="inlineStr">
        <is>
          <t>User is logged in; cart is empty</t>
        </is>
      </c>
      <c r="H3" s="10" t="inlineStr">
        <is>
          <t>Product: Nokia lumia 1520</t>
        </is>
      </c>
      <c r="I3" s="10" t="inlineStr">
        <is>
          <t>1. Open the product page
2. Click 'Add to cart'
3. Accept alert
4. Open Cart
5. Check the cart page layout</t>
        </is>
      </c>
      <c r="J3" s="10" t="inlineStr">
        <is>
          <t>Alert 'Product added.'; Cart shows the product with correct title and price; Total = product price; page shows table headers Pic / Title / Price / x, the 'Total' panel and the 'Place Order' button</t>
        </is>
      </c>
      <c r="K3" s="11" t="inlineStr">
        <is>
          <t>As expected on Chromium and WebKit. (Automated run 2026-09-27)</t>
        </is>
      </c>
      <c r="L3" s="12" t="inlineStr">
        <is>
          <t>Pass</t>
        </is>
      </c>
      <c r="M3" s="9" t="inlineStr">
        <is>
          <t>Yes</t>
        </is>
      </c>
      <c r="N3" s="10" t="inlineStr">
        <is>
          <t>Core happy path | Merged CART-003 (2026-09-26)</t>
        </is>
      </c>
    </row>
    <row r="4">
      <c r="A4" s="9" t="inlineStr">
        <is>
          <t>CART-004</t>
        </is>
      </c>
      <c r="B4" s="9" t="inlineStr">
        <is>
          <t>Cart</t>
        </is>
      </c>
      <c r="C4" s="10" t="inlineStr">
        <is>
          <t>Total</t>
        </is>
      </c>
      <c r="D4" s="10" t="inlineStr">
        <is>
          <t>Total equals the sum of several different products</t>
        </is>
      </c>
      <c r="E4" s="9" t="inlineStr">
        <is>
          <t>Functional</t>
        </is>
      </c>
      <c r="F4" s="9" t="inlineStr">
        <is>
          <t>High</t>
        </is>
      </c>
      <c r="G4" s="10" t="inlineStr">
        <is>
          <t>User is logged in; cart is empty</t>
        </is>
      </c>
      <c r="H4" s="10" t="inlineStr">
        <is>
          <t>3 different products</t>
        </is>
      </c>
      <c r="I4" s="10" t="inlineStr">
        <is>
          <t>1. Add 3 different products
2. Open Cart</t>
        </is>
      </c>
      <c r="J4" s="10" t="inlineStr">
        <is>
          <t>3 rows listed; Total = sum of the 3 prices</t>
        </is>
      </c>
      <c r="K4" s="11" t="inlineStr">
        <is>
          <t>As expected on Chromium and WebKit. (Automated run 2026-09-27)</t>
        </is>
      </c>
      <c r="L4" s="12" t="inlineStr">
        <is>
          <t>Pass</t>
        </is>
      </c>
      <c r="M4" s="9" t="inlineStr">
        <is>
          <t>Yes</t>
        </is>
      </c>
      <c r="N4" s="10" t="n"/>
    </row>
    <row r="5">
      <c r="A5" s="9" t="inlineStr">
        <is>
          <t>CART-005</t>
        </is>
      </c>
      <c r="B5" s="9" t="inlineStr">
        <is>
          <t>Cart</t>
        </is>
      </c>
      <c r="C5" s="10" t="inlineStr">
        <is>
          <t>Add to cart</t>
        </is>
      </c>
      <c r="D5" s="10" t="inlineStr">
        <is>
          <t>Add the same product twice</t>
        </is>
      </c>
      <c r="E5" s="9" t="inlineStr">
        <is>
          <t>Functional</t>
        </is>
      </c>
      <c r="F5" s="9" t="inlineStr">
        <is>
          <t>Medium</t>
        </is>
      </c>
      <c r="G5" s="10" t="inlineStr">
        <is>
          <t>User is logged in; cart is empty</t>
        </is>
      </c>
      <c r="H5" s="10" t="inlineStr">
        <is>
          <t>Same product x2</t>
        </is>
      </c>
      <c r="I5" s="10" t="inlineStr">
        <is>
          <t>1. Add the same product twice
2. Open Cart</t>
        </is>
      </c>
      <c r="J5" s="10" t="inlineStr">
        <is>
          <t>2 separate rows for the product; Total = 2 x price</t>
        </is>
      </c>
      <c r="K5" s="11" t="inlineStr">
        <is>
          <t>As expected on Chromium and WebKit. (Automated run 2026-09-27)</t>
        </is>
      </c>
      <c r="L5" s="12" t="inlineStr">
        <is>
          <t>Pass</t>
        </is>
      </c>
      <c r="M5" s="9" t="inlineStr">
        <is>
          <t>Yes</t>
        </is>
      </c>
      <c r="N5" s="10" t="inlineStr">
        <is>
          <t>No quantity column: duplicates appear as separate rows</t>
        </is>
      </c>
    </row>
    <row r="6">
      <c r="A6" s="9" t="inlineStr">
        <is>
          <t>CART-006</t>
        </is>
      </c>
      <c r="B6" s="9" t="inlineStr">
        <is>
          <t>Cart</t>
        </is>
      </c>
      <c r="C6" s="10" t="inlineStr">
        <is>
          <t>Delete</t>
        </is>
      </c>
      <c r="D6" s="10" t="inlineStr">
        <is>
          <t>Delete one item from a multi-item cart</t>
        </is>
      </c>
      <c r="E6" s="9" t="inlineStr">
        <is>
          <t>Functional</t>
        </is>
      </c>
      <c r="F6" s="9" t="inlineStr">
        <is>
          <t>High</t>
        </is>
      </c>
      <c r="G6" s="10" t="inlineStr">
        <is>
          <t>Cart has 2+ items</t>
        </is>
      </c>
      <c r="H6" s="10" t="inlineStr">
        <is>
          <t>-</t>
        </is>
      </c>
      <c r="I6" s="10" t="inlineStr">
        <is>
          <t>1. Click 'Delete' on one row</t>
        </is>
      </c>
      <c r="J6" s="10" t="inlineStr">
        <is>
          <t>Page reloads; row removed; other rows remain; Total recalculated</t>
        </is>
      </c>
      <c r="K6" s="11" t="inlineStr">
        <is>
          <t>As expected on Chromium and WebKit. (Automated run 2026-09-27)</t>
        </is>
      </c>
      <c r="L6" s="12" t="inlineStr">
        <is>
          <t>Pass</t>
        </is>
      </c>
      <c r="M6" s="9" t="inlineStr">
        <is>
          <t>Yes</t>
        </is>
      </c>
      <c r="N6" s="10" t="n"/>
    </row>
    <row r="7">
      <c r="A7" s="9" t="inlineStr">
        <is>
          <t>CART-007</t>
        </is>
      </c>
      <c r="B7" s="9" t="inlineStr">
        <is>
          <t>Cart</t>
        </is>
      </c>
      <c r="C7" s="10" t="inlineStr">
        <is>
          <t>Delete</t>
        </is>
      </c>
      <c r="D7" s="10" t="inlineStr">
        <is>
          <t>Delete the last item</t>
        </is>
      </c>
      <c r="E7" s="9" t="inlineStr">
        <is>
          <t>Functional</t>
        </is>
      </c>
      <c r="F7" s="9" t="inlineStr">
        <is>
          <t>Medium</t>
        </is>
      </c>
      <c r="G7" s="10" t="inlineStr">
        <is>
          <t>Cart has exactly 1 item</t>
        </is>
      </c>
      <c r="H7" s="10" t="inlineStr">
        <is>
          <t>-</t>
        </is>
      </c>
      <c r="I7" s="10" t="inlineStr">
        <is>
          <t>1. Click 'Delete'</t>
        </is>
      </c>
      <c r="J7" s="10" t="inlineStr">
        <is>
          <t>Table is empty; Total is blank / 0</t>
        </is>
      </c>
      <c r="K7" s="11" t="inlineStr">
        <is>
          <t>As expected on Chromium and WebKit. (Automated run 2026-09-28)</t>
        </is>
      </c>
      <c r="L7" s="12" t="inlineStr">
        <is>
          <t>Pass</t>
        </is>
      </c>
      <c r="M7" s="9" t="inlineStr">
        <is>
          <t>Yes</t>
        </is>
      </c>
      <c r="N7" s="10" t="n"/>
    </row>
    <row r="8">
      <c r="A8" s="9" t="inlineStr">
        <is>
          <t>CART-008</t>
        </is>
      </c>
      <c r="B8" s="9" t="inlineStr">
        <is>
          <t>Cart</t>
        </is>
      </c>
      <c r="C8" s="10" t="inlineStr">
        <is>
          <t>Persistence</t>
        </is>
      </c>
      <c r="D8" s="10" t="inlineStr">
        <is>
          <t>Logged-in cart persists after logout/login and in a new browser session</t>
        </is>
      </c>
      <c r="E8" s="9" t="inlineStr">
        <is>
          <t>Functional</t>
        </is>
      </c>
      <c r="F8" s="9" t="inlineStr">
        <is>
          <t>High</t>
        </is>
      </c>
      <c r="G8" s="10" t="inlineStr">
        <is>
          <t>User is logged in; cart has items</t>
        </is>
      </c>
      <c r="H8" s="10" t="inlineStr">
        <is>
          <t>-</t>
        </is>
      </c>
      <c r="I8" s="10" t="inlineStr">
        <is>
          <t>1. Log out
2. Log in again with the same account
3. Open Cart
4. Open a new browser session (clean cookies), log in, open Cart</t>
        </is>
      </c>
      <c r="J8" s="10" t="inlineStr">
        <is>
          <t>Same items and Total in both cases (cart is stored server-side per user)</t>
        </is>
      </c>
      <c r="K8" s="11" t="inlineStr">
        <is>
          <t>As expected on Chromium and WebKit. (Automated run 2026-09-27)</t>
        </is>
      </c>
      <c r="L8" s="12" t="inlineStr">
        <is>
          <t>Pass</t>
        </is>
      </c>
      <c r="M8" s="9" t="inlineStr">
        <is>
          <t>Yes</t>
        </is>
      </c>
      <c r="N8" s="10" t="inlineStr">
        <is>
          <t>Cart stored server-side per user | Merged CART-009 (2026-09-26)</t>
        </is>
      </c>
    </row>
    <row r="9">
      <c r="A9" s="9" t="inlineStr">
        <is>
          <t>CART-010</t>
        </is>
      </c>
      <c r="B9" s="9" t="inlineStr">
        <is>
          <t>Cart</t>
        </is>
      </c>
      <c r="C9" s="10" t="inlineStr">
        <is>
          <t>Persistence</t>
        </is>
      </c>
      <c r="D9" s="10" t="inlineStr">
        <is>
          <t>Guest cart persists after reload</t>
        </is>
      </c>
      <c r="E9" s="9" t="inlineStr">
        <is>
          <t>Functional</t>
        </is>
      </c>
      <c r="F9" s="9" t="inlineStr">
        <is>
          <t>Medium</t>
        </is>
      </c>
      <c r="G9" s="10" t="inlineStr">
        <is>
          <t>User is logged out; guest cart has items</t>
        </is>
      </c>
      <c r="H9" s="10" t="inlineStr">
        <is>
          <t>-</t>
        </is>
      </c>
      <c r="I9" s="10" t="inlineStr">
        <is>
          <t>1. Reload cart.html</t>
        </is>
      </c>
      <c r="J9" s="10" t="inlineStr">
        <is>
          <t>Guest items still listed</t>
        </is>
      </c>
      <c r="K9" s="11" t="inlineStr">
        <is>
          <t>As expected on Chromium and WebKit. (Automated run 2026-09-28)</t>
        </is>
      </c>
      <c r="L9" s="12" t="inlineStr">
        <is>
          <t>Pass</t>
        </is>
      </c>
      <c r="M9" s="9" t="inlineStr">
        <is>
          <t>Yes</t>
        </is>
      </c>
      <c r="N9" s="10" t="n"/>
    </row>
    <row r="10">
      <c r="A10" s="9" t="inlineStr">
        <is>
          <t>CART-012</t>
        </is>
      </c>
      <c r="B10" s="9" t="inlineStr">
        <is>
          <t>Cart</t>
        </is>
      </c>
      <c r="C10" s="10" t="inlineStr">
        <is>
          <t>Place order</t>
        </is>
      </c>
      <c r="D10" s="10" t="inlineStr">
        <is>
          <t>Purchase with all fields filled</t>
        </is>
      </c>
      <c r="E10" s="9" t="inlineStr">
        <is>
          <t>Functional</t>
        </is>
      </c>
      <c r="F10" s="9" t="inlineStr">
        <is>
          <t>High</t>
        </is>
      </c>
      <c r="G10" s="10" t="inlineStr">
        <is>
          <t>User is logged in; cart has items</t>
        </is>
      </c>
      <c r="H10" s="10" t="inlineStr">
        <is>
          <t>Name, Country, City, Card=4111111111111111, Month=12, Year=2027</t>
        </is>
      </c>
      <c r="I10" s="10" t="inlineStr">
        <is>
          <t>1. Click 'Place Order'
2. Verify the modal: title, 'Total: &lt;cart total&gt;', fields Name, Country, City, Credit card, Month, Year, buttons Close and Purchase
3. Fill all fields
4. Click 'Purchase'</t>
        </is>
      </c>
      <c r="J10" s="10" t="inlineStr">
        <is>
          <t>Modal shows the cart total and all fields; after Purchase, dialog 'Thank you for your purchase!' with Id, Amount = cart total (USD), Card Number, Name and today's Date</t>
        </is>
      </c>
      <c r="K10" s="11" t="inlineStr">
        <is>
          <t>As expected on Chromium and WebKit. (Automated run 2026-09-27)</t>
        </is>
      </c>
      <c r="L10" s="12" t="inlineStr">
        <is>
          <t>Pass</t>
        </is>
      </c>
      <c r="M10" s="9" t="inlineStr">
        <is>
          <t>Yes</t>
        </is>
      </c>
      <c r="N10" s="10" t="inlineStr">
        <is>
          <t>Core happy path | Merged CART-011 (2026-09-26)</t>
        </is>
      </c>
    </row>
    <row r="11">
      <c r="A11" s="9" t="inlineStr">
        <is>
          <t>CART-013</t>
        </is>
      </c>
      <c r="B11" s="9" t="inlineStr">
        <is>
          <t>Cart</t>
        </is>
      </c>
      <c r="C11" s="10" t="inlineStr">
        <is>
          <t>Place order</t>
        </is>
      </c>
      <c r="D11" s="10" t="inlineStr">
        <is>
          <t>Purchase with only the required fields (Name, Credit card)</t>
        </is>
      </c>
      <c r="E11" s="9" t="inlineStr">
        <is>
          <t>Functional</t>
        </is>
      </c>
      <c r="F11" s="9" t="inlineStr">
        <is>
          <t>Medium</t>
        </is>
      </c>
      <c r="G11" s="10" t="inlineStr">
        <is>
          <t>Cart has items</t>
        </is>
      </c>
      <c r="H11" s="10" t="inlineStr">
        <is>
          <t>Name + Card only</t>
        </is>
      </c>
      <c r="I11" s="10" t="inlineStr">
        <is>
          <t>1. Click 'Place Order'
2. Fill Name and Credit card only
3. Click 'Purchase'</t>
        </is>
      </c>
      <c r="J11" s="10" t="inlineStr">
        <is>
          <t>Purchase succeeds with the confirmation dialog</t>
        </is>
      </c>
      <c r="K11" s="11" t="inlineStr">
        <is>
          <t>As expected on Chromium and WebKit. (Automated run 2026-09-27)</t>
        </is>
      </c>
      <c r="L11" s="12" t="inlineStr">
        <is>
          <t>Pass</t>
        </is>
      </c>
      <c r="M11" s="9" t="inlineStr">
        <is>
          <t>Yes</t>
        </is>
      </c>
      <c r="N11" s="10" t="n"/>
    </row>
    <row r="12">
      <c r="A12" s="9" t="inlineStr">
        <is>
          <t>CART-014</t>
        </is>
      </c>
      <c r="B12" s="9" t="inlineStr">
        <is>
          <t>Cart</t>
        </is>
      </c>
      <c r="C12" s="10" t="inlineStr">
        <is>
          <t>Place order</t>
        </is>
      </c>
      <c r="D12" s="10" t="inlineStr">
        <is>
          <t>Cart is cleared after a successful purchase</t>
        </is>
      </c>
      <c r="E12" s="9" t="inlineStr">
        <is>
          <t>Functional</t>
        </is>
      </c>
      <c r="F12" s="9" t="inlineStr">
        <is>
          <t>High</t>
        </is>
      </c>
      <c r="G12" s="10" t="inlineStr">
        <is>
          <t>Purchase confirmation dialog is shown</t>
        </is>
      </c>
      <c r="H12" s="10" t="inlineStr">
        <is>
          <t>-</t>
        </is>
      </c>
      <c r="I12" s="10" t="inlineStr">
        <is>
          <t>1. Click 'OK'
2. Open Cart</t>
        </is>
      </c>
      <c r="J12" s="10" t="inlineStr">
        <is>
          <t>Redirected to home page; Cart is empty</t>
        </is>
      </c>
      <c r="K12" s="11" t="inlineStr">
        <is>
          <t>Cart empty after OK — verified as the last step of CART-012 and E2E-001 on Chromium and WebKit. (Automated run 2026-09-27)</t>
        </is>
      </c>
      <c r="L12" s="12" t="inlineStr">
        <is>
          <t>Pass</t>
        </is>
      </c>
      <c r="M12" s="9" t="inlineStr">
        <is>
          <t>Yes</t>
        </is>
      </c>
      <c r="N12" s="10" t="inlineStr">
        <is>
          <t>Timing variant (OK clicked immediately) is CART-037</t>
        </is>
      </c>
    </row>
    <row r="13">
      <c r="A13" s="9" t="inlineStr">
        <is>
          <t>CART-015</t>
        </is>
      </c>
      <c r="B13" s="9" t="inlineStr">
        <is>
          <t>Cart</t>
        </is>
      </c>
      <c r="C13" s="10" t="inlineStr">
        <is>
          <t>Place order</t>
        </is>
      </c>
      <c r="D13" s="10" t="inlineStr">
        <is>
          <t>Guest can complete a purchase</t>
        </is>
      </c>
      <c r="E13" s="9" t="inlineStr">
        <is>
          <t>Functional</t>
        </is>
      </c>
      <c r="F13" s="9" t="inlineStr">
        <is>
          <t>Medium</t>
        </is>
      </c>
      <c r="G13" s="10" t="inlineStr">
        <is>
          <t>User is logged out; guest cart has items</t>
        </is>
      </c>
      <c r="H13" s="10" t="inlineStr">
        <is>
          <t>Valid order data</t>
        </is>
      </c>
      <c r="I13" s="10" t="inlineStr">
        <is>
          <t>1. Place Order as guest
2. Click 'OK'
3. Open Cart</t>
        </is>
      </c>
      <c r="J13" s="10" t="inlineStr">
        <is>
          <t>Confirmation shown; guest cart emptied afterwards</t>
        </is>
      </c>
      <c r="K13" s="11" t="inlineStr">
        <is>
          <t>As expected on Chromium and WebKit. (Automated run 2026-09-28)</t>
        </is>
      </c>
      <c r="L13" s="12" t="inlineStr">
        <is>
          <t>Pass</t>
        </is>
      </c>
      <c r="M13" s="9" t="inlineStr">
        <is>
          <t>Yes</t>
        </is>
      </c>
      <c r="N13" s="10" t="n"/>
    </row>
    <row r="14">
      <c r="A14" s="9" t="inlineStr">
        <is>
          <t>CART-016</t>
        </is>
      </c>
      <c r="B14" s="9" t="inlineStr">
        <is>
          <t>Cart</t>
        </is>
      </c>
      <c r="C14" s="10" t="inlineStr">
        <is>
          <t>Place order</t>
        </is>
      </c>
      <c r="D14" s="10" t="inlineStr">
        <is>
          <t>Close the Place Order modal without purchasing</t>
        </is>
      </c>
      <c r="E14" s="9" t="inlineStr">
        <is>
          <t>Functional</t>
        </is>
      </c>
      <c r="F14" s="9" t="inlineStr">
        <is>
          <t>Low</t>
        </is>
      </c>
      <c r="G14" s="10" t="inlineStr">
        <is>
          <t>Place Order modal is open</t>
        </is>
      </c>
      <c r="H14" s="10" t="inlineStr">
        <is>
          <t>-</t>
        </is>
      </c>
      <c r="I14" s="10" t="inlineStr">
        <is>
          <t>1. Click 'Close' (and on a 2nd attempt, 'X')</t>
        </is>
      </c>
      <c r="J14" s="10" t="inlineStr">
        <is>
          <t>Modal closes; cart items and Total unchanged; no order created</t>
        </is>
      </c>
      <c r="K14" s="11" t="inlineStr">
        <is>
          <t>As expected on Chromium and WebKit. (Automated run 2026-09-27)</t>
        </is>
      </c>
      <c r="L14" s="12" t="inlineStr">
        <is>
          <t>Pass</t>
        </is>
      </c>
      <c r="M14" s="9" t="inlineStr">
        <is>
          <t>Yes</t>
        </is>
      </c>
      <c r="N14" s="10" t="n"/>
    </row>
    <row r="15">
      <c r="A15" s="9" t="inlineStr">
        <is>
          <t>CART-017</t>
        </is>
      </c>
      <c r="B15" s="9" t="inlineStr">
        <is>
          <t>Cart</t>
        </is>
      </c>
      <c r="C15" s="10" t="inlineStr">
        <is>
          <t>Validation</t>
        </is>
      </c>
      <c r="D15" s="10" t="inlineStr">
        <is>
          <t>Required order fields: empty Name and/or Credit card</t>
        </is>
      </c>
      <c r="E15" s="9" t="inlineStr">
        <is>
          <t>Negative</t>
        </is>
      </c>
      <c r="F15" s="9" t="inlineStr">
        <is>
          <t>High</t>
        </is>
      </c>
      <c r="G15" s="10" t="inlineStr">
        <is>
          <t>Place Order modal is open</t>
        </is>
      </c>
      <c r="H15" s="10" t="inlineStr">
        <is>
          <t>Set 1: all fields empty
Set 2: Credit card only (Name empty)
Set 3: Name only (Credit card empty)</t>
        </is>
      </c>
      <c r="I15" s="10" t="inlineStr">
        <is>
          <t>For each data set:
1. Open Place order and fill the fields as given
2. Click 'Purchase'</t>
        </is>
      </c>
      <c r="J15" s="10" t="inlineStr">
        <is>
          <t>Every set: alert 'Please fill out Name and Creditcard.'; no order; modal stays open; cart unchanged</t>
        </is>
      </c>
      <c r="K15" s="11" t="inlineStr">
        <is>
          <t>As expected on Chromium and WebKit, all 3 data sets. (Automated run 2026-09-27)</t>
        </is>
      </c>
      <c r="L15" s="12" t="inlineStr">
        <is>
          <t>Pass</t>
        </is>
      </c>
      <c r="M15" s="9" t="inlineStr">
        <is>
          <t>Yes</t>
        </is>
      </c>
      <c r="N15" s="10" t="inlineStr">
        <is>
          <t>Confirmed in client source (purchaseOrder()) | Merged CART-018 and CART-019 as data sets 2 and 3 (2026-09-26)</t>
        </is>
      </c>
    </row>
    <row r="16">
      <c r="A16" s="9" t="inlineStr">
        <is>
          <t>CART-020</t>
        </is>
      </c>
      <c r="B16" s="9" t="inlineStr">
        <is>
          <t>Cart</t>
        </is>
      </c>
      <c r="C16" s="10" t="inlineStr">
        <is>
          <t>Validation</t>
        </is>
      </c>
      <c r="D16" s="10" t="inlineStr">
        <is>
          <t>Non-numeric / invalid credit card number</t>
        </is>
      </c>
      <c r="E16" s="9" t="inlineStr">
        <is>
          <t>Negative</t>
        </is>
      </c>
      <c r="F16" s="9" t="inlineStr">
        <is>
          <t>High</t>
        </is>
      </c>
      <c r="G16" s="10" t="inlineStr">
        <is>
          <t>Place Order modal is open</t>
        </is>
      </c>
      <c r="H16" s="10" t="inlineStr">
        <is>
          <t>Card='abcd-xyz'</t>
        </is>
      </c>
      <c r="I16" s="10" t="inlineStr">
        <is>
          <t>1. Fill Name and an invalid card
2. Click 'Purchase'</t>
        </is>
      </c>
      <c r="J16" s="10" t="inlineStr">
        <is>
          <t>Purchase is rejected with a card-format error</t>
        </is>
      </c>
      <c r="K16" s="11" t="inlineStr">
        <is>
          <t>Defect reproduced on Chromium and WebKit (DEF-03): Error: The purchase was CONFIRMED although it should have been rejected Expected: "rejected" Received: "confirmed" (Automated run 2026-09-28)</t>
        </is>
      </c>
      <c r="L16" s="12" t="inlineStr">
        <is>
          <t>Fail</t>
        </is>
      </c>
      <c r="M16" s="9" t="inlineStr">
        <is>
          <t>Yes</t>
        </is>
      </c>
      <c r="N16" s="10" t="inlineStr">
        <is>
          <t>Suspected defect DEF-03: no card validation in client code | Priority raised to High to match DEF-03 severity. Expected result follows common industry practice: DemoBlaze publishes no requirement for this. Confirm with PO.</t>
        </is>
      </c>
    </row>
    <row r="17">
      <c r="A17" s="9" t="inlineStr">
        <is>
          <t>CART-021</t>
        </is>
      </c>
      <c r="B17" s="9" t="inlineStr">
        <is>
          <t>Cart</t>
        </is>
      </c>
      <c r="C17" s="10" t="inlineStr">
        <is>
          <t>Validation</t>
        </is>
      </c>
      <c r="D17" s="10" t="inlineStr">
        <is>
          <t>Invalid month and year</t>
        </is>
      </c>
      <c r="E17" s="9" t="inlineStr">
        <is>
          <t>Negative</t>
        </is>
      </c>
      <c r="F17" s="9" t="inlineStr">
        <is>
          <t>Medium</t>
        </is>
      </c>
      <c r="G17" s="10" t="inlineStr">
        <is>
          <t>Place Order modal is open</t>
        </is>
      </c>
      <c r="H17" s="10" t="inlineStr">
        <is>
          <t>Month=13, Year='abcd' / Year=2000</t>
        </is>
      </c>
      <c r="I17" s="10" t="inlineStr">
        <is>
          <t>1. Fill Name, Card, invalid Month/Year
2. Click 'Purchase'</t>
        </is>
      </c>
      <c r="J17" s="10" t="inlineStr">
        <is>
          <t>Purchase is rejected with a date error (invalid or expired)</t>
        </is>
      </c>
      <c r="K17" s="11" t="inlineStr">
        <is>
          <t>Defect reproduced on Chromium and WebKit (DEF-04): Error: The purchase was CONFIRMED although it should have been rejected Expected: "rejected" Received: "confirmed" (Automated run 2026-09-28)</t>
        </is>
      </c>
      <c r="L17" s="12" t="inlineStr">
        <is>
          <t>Fail</t>
        </is>
      </c>
      <c r="M17" s="9" t="inlineStr">
        <is>
          <t>Yes</t>
        </is>
      </c>
      <c r="N17" s="10" t="inlineStr">
        <is>
          <t>Suspected defect DEF-04: Month/Year not validated | Expected result follows common industry practice: DemoBlaze publishes no requirement for this. Confirm with PO.</t>
        </is>
      </c>
    </row>
    <row r="18">
      <c r="A18" s="9" t="inlineStr">
        <is>
          <t>CART-022</t>
        </is>
      </c>
      <c r="B18" s="9" t="inlineStr">
        <is>
          <t>Cart</t>
        </is>
      </c>
      <c r="C18" s="10" t="inlineStr">
        <is>
          <t>Validation</t>
        </is>
      </c>
      <c r="D18" s="10" t="inlineStr">
        <is>
          <t>Place an order with an empty cart</t>
        </is>
      </c>
      <c r="E18" s="9" t="inlineStr">
        <is>
          <t>Negative</t>
        </is>
      </c>
      <c r="F18" s="9" t="inlineStr">
        <is>
          <t>High</t>
        </is>
      </c>
      <c r="G18" s="10" t="inlineStr">
        <is>
          <t>Cart is empty</t>
        </is>
      </c>
      <c r="H18" s="10" t="inlineStr">
        <is>
          <t>Valid Name, Card</t>
        </is>
      </c>
      <c r="I18" s="10" t="inlineStr">
        <is>
          <t>1. Open Cart
2. Click 'Place Order', fill Name and Card
3. Click 'Purchase'</t>
        </is>
      </c>
      <c r="J18" s="10" t="inlineStr">
        <is>
          <t>Order is blocked (button disabled or error 'Cart is empty')</t>
        </is>
      </c>
      <c r="K18" s="11" t="inlineStr">
        <is>
          <t>Defect reproduced on Chromium and WebKit (DEF-02): Error: The purchase was CONFIRMED although it should have been rejected Expected: "rejected" Received: "confirmed" (Automated run 2026-09-27)</t>
        </is>
      </c>
      <c r="L18" s="12" t="inlineStr">
        <is>
          <t>Fail</t>
        </is>
      </c>
      <c r="M18" s="9" t="inlineStr">
        <is>
          <t>Yes</t>
        </is>
      </c>
      <c r="N18" s="10" t="inlineStr">
        <is>
          <t>Suspected defect DEF-02: purchase succeeds with 'Amount: 0 USD'</t>
        </is>
      </c>
    </row>
    <row r="19">
      <c r="A19" s="9" t="inlineStr">
        <is>
          <t>CART-023</t>
        </is>
      </c>
      <c r="B19" s="9" t="inlineStr">
        <is>
          <t>Cart</t>
        </is>
      </c>
      <c r="C19" s="10" t="inlineStr">
        <is>
          <t>Add to cart</t>
        </is>
      </c>
      <c r="D19" s="10" t="inlineStr">
        <is>
          <t>Invalid product id</t>
        </is>
      </c>
      <c r="E19" s="9" t="inlineStr">
        <is>
          <t>Negative</t>
        </is>
      </c>
      <c r="F19" s="9" t="inlineStr">
        <is>
          <t>Low</t>
        </is>
      </c>
      <c r="G19" s="10" t="inlineStr">
        <is>
          <t>-</t>
        </is>
      </c>
      <c r="H19" s="10" t="inlineStr">
        <is>
          <t>prod.html?idp_=99999</t>
        </is>
      </c>
      <c r="I19" s="10" t="inlineStr">
        <is>
          <t>1. Open prod.html?idp_=99999</t>
        </is>
      </c>
      <c r="J19" s="10" t="inlineStr">
        <is>
          <t>A 'product not found' message; no 'Add to cart' of a non-existent product</t>
        </is>
      </c>
      <c r="K19" s="11" t="inlineStr">
        <is>
          <t>Defect reproduced on Chromium and WebKit (DEF-12): Error: expect(locator).not.toBeVisible() failed Expected: not visible Received: visible (Automated run 2026-09-28)</t>
        </is>
      </c>
      <c r="L19" s="12" t="inlineStr">
        <is>
          <t>Fail</t>
        </is>
      </c>
      <c r="M19" s="9" t="inlineStr">
        <is>
          <t>Yes</t>
        </is>
      </c>
      <c r="N19" s="10" t="inlineStr">
        <is>
          <t>Suspected defect DEF-12 (confirmed). Expected result follows common industry practice: DemoBlaze publishes no requirement for this. Confirm with PO.</t>
        </is>
      </c>
    </row>
    <row r="20">
      <c r="A20" s="9" t="inlineStr">
        <is>
          <t>CART-024</t>
        </is>
      </c>
      <c r="B20" s="9" t="inlineStr">
        <is>
          <t>Cart</t>
        </is>
      </c>
      <c r="C20" s="10" t="inlineStr">
        <is>
          <t>Validation</t>
        </is>
      </c>
      <c r="D20" s="10" t="inlineStr">
        <is>
          <t>Whitespace-only Name and Credit card</t>
        </is>
      </c>
      <c r="E20" s="9" t="inlineStr">
        <is>
          <t>Negative</t>
        </is>
      </c>
      <c r="F20" s="9" t="inlineStr">
        <is>
          <t>Medium</t>
        </is>
      </c>
      <c r="G20" s="10" t="inlineStr">
        <is>
          <t>Place Order modal is open</t>
        </is>
      </c>
      <c r="H20" s="10" t="inlineStr">
        <is>
          <t>Name='   ', Card='   '</t>
        </is>
      </c>
      <c r="I20" s="10" t="inlineStr">
        <is>
          <t>1. Enter spaces only
2. Click 'Purchase'</t>
        </is>
      </c>
      <c r="J20" s="10" t="inlineStr">
        <is>
          <t>Treated as empty: alert 'Please fill out Name and Creditcard.'</t>
        </is>
      </c>
      <c r="K20" s="11" t="inlineStr">
        <is>
          <t>Defect reproduced on Chromium and WebKit (DEF-05): Error: The purchase was CONFIRMED although it should have been rejected Expected: "rejected" Received: "confirmed" (Automated run 2026-09-28)</t>
        </is>
      </c>
      <c r="L20" s="12" t="inlineStr">
        <is>
          <t>Fail</t>
        </is>
      </c>
      <c r="M20" s="9" t="inlineStr">
        <is>
          <t>Yes</t>
        </is>
      </c>
      <c r="N20" s="10" t="inlineStr">
        <is>
          <t>Suspected defect DEF-05: only == '' is checked</t>
        </is>
      </c>
    </row>
    <row r="21">
      <c r="A21" s="9" t="inlineStr">
        <is>
          <t>CART-025</t>
        </is>
      </c>
      <c r="B21" s="9" t="inlineStr">
        <is>
          <t>Cart</t>
        </is>
      </c>
      <c r="C21" s="10" t="inlineStr">
        <is>
          <t>Place order</t>
        </is>
      </c>
      <c r="D21" s="10" t="inlineStr">
        <is>
          <t>Confirmation shows today's date correctly</t>
        </is>
      </c>
      <c r="E21" s="9" t="inlineStr">
        <is>
          <t>Edge</t>
        </is>
      </c>
      <c r="F21" s="9" t="inlineStr">
        <is>
          <t>Medium</t>
        </is>
      </c>
      <c r="G21" s="10" t="inlineStr">
        <is>
          <t>Cart has items</t>
        </is>
      </c>
      <c r="H21" s="10" t="inlineStr">
        <is>
          <t>Valid order data</t>
        </is>
      </c>
      <c r="I21" s="10" t="inlineStr">
        <is>
          <t>1. Complete a purchase
2. Read 'Date' in the dialog</t>
        </is>
      </c>
      <c r="J21" s="10" t="inlineStr">
        <is>
          <t>Date equals today's date (D/M/YYYY)</t>
        </is>
      </c>
      <c r="K21" s="11" t="inlineStr">
        <is>
          <t>Defect reproduced on Chromium and WebKit (DEF-06): Error: expect(received).toBe(expected) // Object.is equality Expected: "27/9/2026" Received: "27/8/2026" (Automated run 2026-09-27)</t>
        </is>
      </c>
      <c r="L21" s="12" t="inlineStr">
        <is>
          <t>Fail</t>
        </is>
      </c>
      <c r="M21" s="9" t="inlineStr">
        <is>
          <t>Yes</t>
        </is>
      </c>
      <c r="N21" s="10" t="inlineStr">
        <is>
          <t>Suspected defect DEF-06: getMonth() is 0-based, month is off by one</t>
        </is>
      </c>
    </row>
    <row r="22">
      <c r="A22" s="9" t="inlineStr">
        <is>
          <t>CART-026</t>
        </is>
      </c>
      <c r="B22" s="9" t="inlineStr">
        <is>
          <t>Cart</t>
        </is>
      </c>
      <c r="C22" s="10" t="inlineStr">
        <is>
          <t>Persistence</t>
        </is>
      </c>
      <c r="D22" s="10" t="inlineStr">
        <is>
          <t>Guest cart after login</t>
        </is>
      </c>
      <c r="E22" s="9" t="inlineStr">
        <is>
          <t>Edge</t>
        </is>
      </c>
      <c r="F22" s="9" t="inlineStr">
        <is>
          <t>Medium</t>
        </is>
      </c>
      <c r="G22" s="10" t="inlineStr">
        <is>
          <t>User logged out with items in guest cart; account cart is empty</t>
        </is>
      </c>
      <c r="H22" s="10" t="inlineStr">
        <is>
          <t>-</t>
        </is>
      </c>
      <c r="I22" s="10" t="inlineStr">
        <is>
          <t>1. Log in
2. Open Cart</t>
        </is>
      </c>
      <c r="J22" s="10" t="inlineStr">
        <is>
          <t>Guest items are merged into the account cart (clarify rule with PO)</t>
        </is>
      </c>
      <c r="K22" s="11" t="inlineStr">
        <is>
          <t>Blocked: the expected rule is not defined. Awaiting PO decision.</t>
        </is>
      </c>
      <c r="L22" s="12" t="inlineStr">
        <is>
          <t>Blocked</t>
        </is>
      </c>
      <c r="M22" s="9" t="inlineStr">
        <is>
          <t>Yes</t>
        </is>
      </c>
      <c r="N22" s="10" t="inlineStr">
        <is>
          <t>Per source, guest and user carts are separate -&gt; guest items disappear</t>
        </is>
      </c>
    </row>
    <row r="23">
      <c r="A23" s="9" t="inlineStr">
        <is>
          <t>CART-027</t>
        </is>
      </c>
      <c r="B23" s="9" t="inlineStr">
        <is>
          <t>Cart</t>
        </is>
      </c>
      <c r="C23" s="10" t="inlineStr">
        <is>
          <t>Isolation</t>
        </is>
      </c>
      <c r="D23" s="10" t="inlineStr">
        <is>
          <t>Carts are isolated between users</t>
        </is>
      </c>
      <c r="E23" s="9" t="inlineStr">
        <is>
          <t>Edge</t>
        </is>
      </c>
      <c r="F23" s="9" t="inlineStr">
        <is>
          <t>High</t>
        </is>
      </c>
      <c r="G23" s="10" t="inlineStr">
        <is>
          <t>Users A and B; A has items, B has an empty cart</t>
        </is>
      </c>
      <c r="H23" s="10" t="inlineStr">
        <is>
          <t>-</t>
        </is>
      </c>
      <c r="I23" s="10" t="inlineStr">
        <is>
          <t>1. Log in as B
2. Open Cart</t>
        </is>
      </c>
      <c r="J23" s="10" t="inlineStr">
        <is>
          <t>B does not see any of A's items</t>
        </is>
      </c>
      <c r="K23" s="11" t="inlineStr">
        <is>
          <t>As expected on Chromium and WebKit. (Automated run 2026-09-28)</t>
        </is>
      </c>
      <c r="L23" s="12" t="inlineStr">
        <is>
          <t>Pass</t>
        </is>
      </c>
      <c r="M23" s="9" t="inlineStr">
        <is>
          <t>Yes</t>
        </is>
      </c>
      <c r="N23" s="10" t="n"/>
    </row>
    <row r="24">
      <c r="A24" s="9" t="inlineStr">
        <is>
          <t>CART-028</t>
        </is>
      </c>
      <c r="B24" s="9" t="inlineStr">
        <is>
          <t>Cart</t>
        </is>
      </c>
      <c r="C24" s="10" t="inlineStr">
        <is>
          <t>Total</t>
        </is>
      </c>
      <c r="D24" s="10" t="inlineStr">
        <is>
          <t>Large cart (10+ items)</t>
        </is>
      </c>
      <c r="E24" s="9" t="inlineStr">
        <is>
          <t>Edge</t>
        </is>
      </c>
      <c r="F24" s="9" t="inlineStr">
        <is>
          <t>Low</t>
        </is>
      </c>
      <c r="G24" s="10" t="inlineStr">
        <is>
          <t>User is logged in; cart is empty</t>
        </is>
      </c>
      <c r="H24" s="10" t="inlineStr">
        <is>
          <t>10 products</t>
        </is>
      </c>
      <c r="I24" s="10" t="inlineStr">
        <is>
          <t>1. Add 10 products
2. Open Cart</t>
        </is>
      </c>
      <c r="J24" s="10" t="inlineStr">
        <is>
          <t>All 10 rows listed; Total equals the exact sum</t>
        </is>
      </c>
      <c r="K24" s="11" t="inlineStr">
        <is>
          <t>As expected on Chromium and WebKit. Re-run after a first attempt failed (see Change Log). (Automated run 2026-09-28)</t>
        </is>
      </c>
      <c r="L24" s="12" t="inlineStr">
        <is>
          <t>Pass</t>
        </is>
      </c>
      <c r="M24" s="9" t="inlineStr">
        <is>
          <t>Yes</t>
        </is>
      </c>
      <c r="N24" s="10" t="inlineStr">
        <is>
          <t>Rows load asynchronously, one request each</t>
        </is>
      </c>
    </row>
    <row r="25">
      <c r="A25" s="9" t="inlineStr">
        <is>
          <t>CART-029</t>
        </is>
      </c>
      <c r="B25" s="9" t="inlineStr">
        <is>
          <t>Cart</t>
        </is>
      </c>
      <c r="C25" s="10" t="inlineStr">
        <is>
          <t>Concurrency</t>
        </is>
      </c>
      <c r="D25" s="10" t="inlineStr">
        <is>
          <t>Double-click 'Add to cart'</t>
        </is>
      </c>
      <c r="E25" s="9" t="inlineStr">
        <is>
          <t>Edge</t>
        </is>
      </c>
      <c r="F25" s="9" t="inlineStr">
        <is>
          <t>Low</t>
        </is>
      </c>
      <c r="G25" s="10" t="inlineStr">
        <is>
          <t>User is logged in; cart is empty</t>
        </is>
      </c>
      <c r="H25" s="10" t="inlineStr">
        <is>
          <t>-</t>
        </is>
      </c>
      <c r="I25" s="10" t="inlineStr">
        <is>
          <t>1. Double-click 'Add to cart' quickly
2. Open Cart</t>
        </is>
      </c>
      <c r="J25" s="10" t="inlineStr">
        <is>
          <t>Number of rows matches the number of confirmed 'Product added.' alerts</t>
        </is>
      </c>
      <c r="K25" s="11" t="inlineStr">
        <is>
          <t>As expected on Chromium and WebKit. (Automated run 2026-09-28)</t>
        </is>
      </c>
      <c r="L25" s="12" t="inlineStr">
        <is>
          <t>Pass</t>
        </is>
      </c>
      <c r="M25" s="9" t="inlineStr">
        <is>
          <t>Yes</t>
        </is>
      </c>
      <c r="N25" s="10" t="inlineStr">
        <is>
          <t>Manual/exploratory</t>
        </is>
      </c>
    </row>
    <row r="26">
      <c r="A26" s="9" t="inlineStr">
        <is>
          <t>CART-030</t>
        </is>
      </c>
      <c r="B26" s="9" t="inlineStr">
        <is>
          <t>Cart</t>
        </is>
      </c>
      <c r="C26" s="10" t="inlineStr">
        <is>
          <t>Place order</t>
        </is>
      </c>
      <c r="D26" s="10" t="inlineStr">
        <is>
          <t>Very long / special-character input in order form</t>
        </is>
      </c>
      <c r="E26" s="9" t="inlineStr">
        <is>
          <t>Edge</t>
        </is>
      </c>
      <c r="F26" s="9" t="inlineStr">
        <is>
          <t>Low</t>
        </is>
      </c>
      <c r="G26" s="10" t="inlineStr">
        <is>
          <t>Place Order modal is open</t>
        </is>
      </c>
      <c r="H26" s="10" t="inlineStr">
        <is>
          <t>Name=500 chars incl. &lt;b&gt;x&lt;/b&gt;; Card=50 digits</t>
        </is>
      </c>
      <c r="I26" s="10" t="inlineStr">
        <is>
          <t>1. Fill fields
2. Click 'Purchase'</t>
        </is>
      </c>
      <c r="J26" s="10" t="inlineStr">
        <is>
          <t>Input is validated or rendered as plain text; dialog layout is not broken; no HTML is interpreted</t>
        </is>
      </c>
      <c r="K26" s="11" t="inlineStr">
        <is>
          <t>As expected on Chromium and WebKit. (Automated run 2026-09-28)</t>
        </is>
      </c>
      <c r="L26" s="12" t="inlineStr">
        <is>
          <t>Pass</t>
        </is>
      </c>
      <c r="M26" s="9" t="inlineStr">
        <is>
          <t>Yes</t>
        </is>
      </c>
      <c r="N26" s="10" t="n"/>
    </row>
    <row r="27">
      <c r="A27" s="9" t="inlineStr">
        <is>
          <t>CART-031</t>
        </is>
      </c>
      <c r="B27" s="9" t="inlineStr">
        <is>
          <t>Cart</t>
        </is>
      </c>
      <c r="C27" s="10" t="inlineStr">
        <is>
          <t>Consistency</t>
        </is>
      </c>
      <c r="D27" s="10" t="inlineStr">
        <is>
          <t>Cart state across two tabs</t>
        </is>
      </c>
      <c r="E27" s="9" t="inlineStr">
        <is>
          <t>Edge</t>
        </is>
      </c>
      <c r="F27" s="9" t="inlineStr">
        <is>
          <t>Low</t>
        </is>
      </c>
      <c r="G27" s="10" t="inlineStr">
        <is>
          <t>Cart open in tabs A and B</t>
        </is>
      </c>
      <c r="H27" s="10" t="inlineStr">
        <is>
          <t>-</t>
        </is>
      </c>
      <c r="I27" s="10" t="inlineStr">
        <is>
          <t>1. Delete an item in tab A
2. Reload tab B</t>
        </is>
      </c>
      <c r="J27" s="10" t="inlineStr">
        <is>
          <t>Tab B no longer shows the deleted item; Total matches tab A</t>
        </is>
      </c>
      <c r="K27" s="11" t="inlineStr">
        <is>
          <t>As expected on Chromium and WebKit. Re-run after a first attempt failed (see Change Log). (Automated run 2026-09-28)</t>
        </is>
      </c>
      <c r="L27" s="12" t="inlineStr">
        <is>
          <t>Pass</t>
        </is>
      </c>
      <c r="M27" s="9" t="inlineStr">
        <is>
          <t>Yes</t>
        </is>
      </c>
      <c r="N27" s="10" t="n"/>
    </row>
    <row r="28">
      <c r="A28" s="9" t="inlineStr">
        <is>
          <t>CART-032</t>
        </is>
      </c>
      <c r="B28" s="9" t="inlineStr">
        <is>
          <t>Cart</t>
        </is>
      </c>
      <c r="C28" s="10" t="inlineStr">
        <is>
          <t>Consistency</t>
        </is>
      </c>
      <c r="D28" s="10" t="inlineStr">
        <is>
          <t>'Product added' alert text is consistent</t>
        </is>
      </c>
      <c r="E28" s="9" t="inlineStr">
        <is>
          <t>Edge</t>
        </is>
      </c>
      <c r="F28" s="9" t="inlineStr">
        <is>
          <t>Low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1. Add a product as guest
2. Add a product as a logged-in user</t>
        </is>
      </c>
      <c r="J28" s="10" t="inlineStr">
        <is>
          <t>Same confirmation message in both cases</t>
        </is>
      </c>
      <c r="K28" s="11" t="inlineStr">
        <is>
          <t>Evidence from CART-001 (guest) and CART-002 (user) runs: guest alert "Product added" vs user alert "Product added." (DEF-07). (Automated run 2026-09-27)</t>
        </is>
      </c>
      <c r="L28" s="12" t="inlineStr">
        <is>
          <t>Fail</t>
        </is>
      </c>
      <c r="M28" s="9" t="inlineStr">
        <is>
          <t>Yes</t>
        </is>
      </c>
      <c r="N28" s="10" t="inlineStr">
        <is>
          <t>Suspected defect DEF-07: guest 'Product added' vs user 'Product added.'</t>
        </is>
      </c>
    </row>
    <row r="29">
      <c r="A29" s="9" t="inlineStr">
        <is>
          <t>CART-033</t>
        </is>
      </c>
      <c r="B29" s="9" t="inlineStr">
        <is>
          <t>Cart</t>
        </is>
      </c>
      <c r="C29" s="10" t="inlineStr">
        <is>
          <t>Security</t>
        </is>
      </c>
      <c r="D29" s="10" t="inlineStr">
        <is>
          <t>Card number is masked on the purchase confirmation</t>
        </is>
      </c>
      <c r="E29" s="9" t="inlineStr">
        <is>
          <t>Negative</t>
        </is>
      </c>
      <c r="F29" s="9" t="inlineStr">
        <is>
          <t>High</t>
        </is>
      </c>
      <c r="G29" s="10" t="inlineStr">
        <is>
          <t>Cart has items</t>
        </is>
      </c>
      <c r="H29" s="10" t="inlineStr">
        <is>
          <t>Card=4111111111111111</t>
        </is>
      </c>
      <c r="I29" s="10" t="inlineStr">
        <is>
          <t>1. Complete a purchase
2. Read 'Card Number' in the confirmation</t>
        </is>
      </c>
      <c r="J29" s="10" t="inlineStr">
        <is>
          <t>Only the last 4 digits are shown (e.g. **** **** **** 1111), per PCI-DSS</t>
        </is>
      </c>
      <c r="K29" s="11" t="inlineStr">
        <is>
          <t>Full 16-digit card number shown in all 8 purchase confirmations of this run (DEF-10). (Automated run 2026-09-27)</t>
        </is>
      </c>
      <c r="L29" s="12" t="inlineStr">
        <is>
          <t>Fail</t>
        </is>
      </c>
      <c r="M29" s="9" t="inlineStr">
        <is>
          <t>Yes</t>
        </is>
      </c>
      <c r="N29" s="10" t="inlineStr">
        <is>
          <t>Suspected defect DEF-10 (confirmed)</t>
        </is>
      </c>
    </row>
    <row r="30">
      <c r="A30" s="9" t="inlineStr">
        <is>
          <t>CART-034</t>
        </is>
      </c>
      <c r="B30" s="9" t="inlineStr">
        <is>
          <t>Cart</t>
        </is>
      </c>
      <c r="C30" s="10" t="inlineStr">
        <is>
          <t>Error handling</t>
        </is>
      </c>
      <c r="D30" s="10" t="inlineStr">
        <is>
          <t>Add to cart when the API is unavailable</t>
        </is>
      </c>
      <c r="E30" s="9" t="inlineStr">
        <is>
          <t>Negative</t>
        </is>
      </c>
      <c r="F30" s="9" t="inlineStr">
        <is>
          <t>High</t>
        </is>
      </c>
      <c r="G30" s="10" t="inlineStr">
        <is>
          <t>On a product page; /addtocart request fails (network error or 5xx)</t>
        </is>
      </c>
      <c r="H30" s="10" t="inlineStr">
        <is>
          <t>Any product</t>
        </is>
      </c>
      <c r="I30" s="10" t="inlineStr">
        <is>
          <t>1. Block or fail the POST /addtocart request
2. Click 'Add to cart'</t>
        </is>
      </c>
      <c r="J30" s="10" t="inlineStr">
        <is>
          <t>A clear error message is shown; the user is not told or led to believe the product was added</t>
        </is>
      </c>
      <c r="K30" s="11" t="inlineStr">
        <is>
          <t>Defect reproduced on Chromium and WebKit (DEF-11): Error: The action failed silently: no alert and no inline error message Expected: true Received: false (Automated run 2026-09-28)</t>
        </is>
      </c>
      <c r="L30" s="12" t="inlineStr">
        <is>
          <t>Fail</t>
        </is>
      </c>
      <c r="M30" s="9" t="inlineStr">
        <is>
          <t>Yes</t>
        </is>
      </c>
      <c r="N30" s="10" t="inlineStr">
        <is>
          <t>Suspected defect DEF-11: addToCart() has no error callback, so the failure is silent. Automatable by aborting the route. Expected result follows common industry practice: DemoBlaze publishes no requirement for this. Confirm with PO.</t>
        </is>
      </c>
    </row>
    <row r="31">
      <c r="A31" s="9" t="inlineStr">
        <is>
          <t>CART-035</t>
        </is>
      </c>
      <c r="B31" s="9" t="inlineStr">
        <is>
          <t>Cart</t>
        </is>
      </c>
      <c r="C31" s="10" t="inlineStr">
        <is>
          <t>Add to cart</t>
        </is>
      </c>
      <c r="D31" s="10" t="inlineStr">
        <is>
          <t>Add a product reached through a category filter</t>
        </is>
      </c>
      <c r="E31" s="9" t="inlineStr">
        <is>
          <t>Functional</t>
        </is>
      </c>
      <c r="F31" s="9" t="inlineStr">
        <is>
          <t>Medium</t>
        </is>
      </c>
      <c r="G31" s="10" t="inlineStr">
        <is>
          <t>User is logged in; cart is empty</t>
        </is>
      </c>
      <c r="H31" s="10" t="inlineStr">
        <is>
          <t>Category 'Laptops' → Sony vaio i5</t>
        </is>
      </c>
      <c r="I31" s="10" t="inlineStr">
        <is>
          <t>1. Click 'Laptops' in CATEGORIES
2. Open 'Sony vaio i5'
3. Click 'Add to cart'
4. Open Cart</t>
        </is>
      </c>
      <c r="J31" s="10" t="inlineStr">
        <is>
          <t>Only laptops are listed after filtering; the product is added with the correct title and price</t>
        </is>
      </c>
      <c r="K31" s="11" t="inlineStr">
        <is>
          <t>As expected on Chromium and WebKit. Re-run after a first attempt failed (see Change Log). (Automated run 2026-09-28)</t>
        </is>
      </c>
      <c r="L31" s="12" t="inlineStr">
        <is>
          <t>Pass</t>
        </is>
      </c>
      <c r="M31" s="9" t="inlineStr">
        <is>
          <t>Yes</t>
        </is>
      </c>
      <c r="N31" s="10" t="inlineStr">
        <is>
          <t>Category list is rendered by a separate code path (byCat())</t>
        </is>
      </c>
    </row>
    <row r="32">
      <c r="A32" s="9" t="inlineStr">
        <is>
          <t>CART-036</t>
        </is>
      </c>
      <c r="B32" s="9" t="inlineStr">
        <is>
          <t>Cart</t>
        </is>
      </c>
      <c r="C32" s="10" t="inlineStr">
        <is>
          <t>Add to cart</t>
        </is>
      </c>
      <c r="D32" s="10" t="inlineStr">
        <is>
          <t>Add a product from the second page of the catalogue</t>
        </is>
      </c>
      <c r="E32" s="9" t="inlineStr">
        <is>
          <t>Functional</t>
        </is>
      </c>
      <c r="F32" s="9" t="inlineStr">
        <is>
          <t>Low</t>
        </is>
      </c>
      <c r="G32" s="10" t="inlineStr">
        <is>
          <t>User is logged in; cart is empty</t>
        </is>
      </c>
      <c r="H32" s="10" t="inlineStr">
        <is>
          <t>Any product on page 2</t>
        </is>
      </c>
      <c r="I32" s="10" t="inlineStr">
        <is>
          <t>1. Click 'Next' under the product grid
2. Open a product from page 2
3. Add it to the cart and open Cart</t>
        </is>
      </c>
      <c r="J32" s="10" t="inlineStr">
        <is>
          <t>Page 2 shows different products; the chosen product is added correctly</t>
        </is>
      </c>
      <c r="K32" s="11" t="inlineStr">
        <is>
          <t>As expected on Chromium and WebKit. (Automated run 2026-09-28)</t>
        </is>
      </c>
      <c r="L32" s="12" t="inlineStr">
        <is>
          <t>Pass</t>
        </is>
      </c>
      <c r="M32" s="9" t="inlineStr">
        <is>
          <t>Yes</t>
        </is>
      </c>
      <c r="N32" s="10" t="inlineStr">
        <is>
          <t>Pagination has its own code path; page-2 card images link to '#' in the source</t>
        </is>
      </c>
    </row>
    <row r="33">
      <c r="A33" s="9" t="inlineStr">
        <is>
          <t>CART-037</t>
        </is>
      </c>
      <c r="B33" s="9" t="inlineStr">
        <is>
          <t>Cart</t>
        </is>
      </c>
      <c r="C33" s="10" t="inlineStr">
        <is>
          <t>Place order</t>
        </is>
      </c>
      <c r="D33" s="10" t="inlineStr">
        <is>
          <t>Cart is cleared even when OK is clicked immediately after purchase</t>
        </is>
      </c>
      <c r="E33" s="9" t="inlineStr">
        <is>
          <t>Edge</t>
        </is>
      </c>
      <c r="F33" s="9" t="inlineStr">
        <is>
          <t>Medium</t>
        </is>
      </c>
      <c r="G33" s="10" t="inlineStr">
        <is>
          <t>User is logged in; cart has items</t>
        </is>
      </c>
      <c r="H33" s="10" t="inlineStr">
        <is>
          <t>Valid order data</t>
        </is>
      </c>
      <c r="I33" s="10" t="inlineStr">
        <is>
          <t>1. Complete a purchase
2. Click 'OK' on the confirmation immediately
3. Open Cart</t>
        </is>
      </c>
      <c r="J33" s="10" t="inlineStr">
        <is>
          <t>Cart is empty (the order must not depend on how fast the user clicks OK)</t>
        </is>
      </c>
      <c r="K33" s="11" t="inlineStr">
        <is>
          <t>Observed once on WebKit: cart still held 2 items after purchase. Intermittent (timing-dependent). See DEF-09. (2026-09-26)</t>
        </is>
      </c>
      <c r="L33" s="12" t="inlineStr">
        <is>
          <t>Fail</t>
        </is>
      </c>
      <c r="M33" s="9" t="inlineStr">
        <is>
          <t>Yes</t>
        </is>
      </c>
      <c r="N33" s="10" t="inlineStr">
        <is>
          <t>Suspected defect DEF-09 (observed once). The regular suite waits for /deletecart before OK, so it does not cover this timing on purpose</t>
        </is>
      </c>
    </row>
    <row r="34">
      <c r="A34" s="9" t="inlineStr">
        <is>
          <t>CART-038</t>
        </is>
      </c>
      <c r="B34" s="9" t="inlineStr">
        <is>
          <t>Cart</t>
        </is>
      </c>
      <c r="C34" s="10" t="inlineStr">
        <is>
          <t>Total</t>
        </is>
      </c>
      <c r="D34" s="10" t="inlineStr">
        <is>
          <t>Total is exact for products with a decimal price</t>
        </is>
      </c>
      <c r="E34" s="9" t="inlineStr">
        <is>
          <t>Edge</t>
        </is>
      </c>
      <c r="F34" s="9" t="inlineStr">
        <is>
          <t>Low</t>
        </is>
      </c>
      <c r="G34" s="10" t="inlineStr">
        <is>
          <t>A product priced with decimals exists (e.g. 99.50)</t>
        </is>
      </c>
      <c r="H34" s="10" t="inlineStr">
        <is>
          <t>Product priced 99.50 + product priced 10.25</t>
        </is>
      </c>
      <c r="I34" s="10" t="inlineStr">
        <is>
          <t>1. Add both products
2. Open Cart</t>
        </is>
      </c>
      <c r="J34" s="10" t="inlineStr">
        <is>
          <t>Total = 109.75</t>
        </is>
      </c>
      <c r="K34" s="11" t="inlineStr">
        <is>
          <t>Blocked: needs a product with a decimal price; the live catalogue has whole-number prices only and test products cannot be seeded.</t>
        </is>
      </c>
      <c r="L34" s="12" t="inlineStr">
        <is>
          <t>Blocked</t>
        </is>
      </c>
      <c r="M34" s="9" t="inlineStr">
        <is>
          <t>No</t>
        </is>
      </c>
      <c r="N34" s="10" t="inlineStr">
        <is>
          <t>Risk from source: cart.js sums parseInt(price), which drops decimals. Current catalogue has whole-number prices only, so this needs seeded test data</t>
        </is>
      </c>
    </row>
  </sheetData>
  <autoFilter ref="A1:N34"/>
  <conditionalFormatting sqref="L2:L3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L2:L34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30" customWidth="1" min="4" max="4"/>
    <col width="46" customWidth="1" min="5" max="5"/>
    <col width="40" customWidth="1" min="6" max="6"/>
    <col width="10" customWidth="1" min="7" max="7"/>
    <col width="36" customWidth="1" min="8" max="8"/>
  </cols>
  <sheetData>
    <row r="1">
      <c r="A1" s="4" t="inlineStr">
        <is>
          <t>TC ID</t>
        </is>
      </c>
      <c r="B1" s="4" t="inlineStr">
        <is>
          <t>Type</t>
        </is>
      </c>
      <c r="C1" s="4" t="inlineStr">
        <is>
          <t>Title</t>
        </is>
      </c>
      <c r="D1" s="4" t="inlineStr">
        <is>
          <t>Target</t>
        </is>
      </c>
      <c r="E1" s="4" t="inlineStr">
        <is>
          <t>Expected Result</t>
        </is>
      </c>
      <c r="F1" s="4" t="inlineStr">
        <is>
          <t>Actual Result</t>
        </is>
      </c>
      <c r="G1" s="4" t="inlineStr">
        <is>
          <t>Status</t>
        </is>
      </c>
      <c r="H1" s="4" t="inlineStr">
        <is>
          <t>Automated test</t>
        </is>
      </c>
    </row>
    <row r="2">
      <c r="A2" s="10" t="inlineStr">
        <is>
          <t>E2E-001</t>
        </is>
      </c>
      <c r="B2" s="10" t="inlineStr">
        <is>
          <t>E2E</t>
        </is>
      </c>
      <c r="C2" s="10" t="inlineStr">
        <is>
          <t>A registered user logs in, adds a product and places an order (UI only)</t>
        </is>
      </c>
      <c r="D2" s="10" t="inlineStr">
        <is>
          <t>UI: home → product → cart → order</t>
        </is>
      </c>
      <c r="E2" s="10" t="inlineStr">
        <is>
          <t>Login succeeds; cart lists the product and total; confirmation matches; cart empty afterwards</t>
        </is>
      </c>
      <c r="F2" s="11" t="inlineStr">
        <is>
          <t>As expected on Chromium and WebKit. (Automated run 2026-09-27)</t>
        </is>
      </c>
      <c r="G2" s="12" t="inlineStr">
        <is>
          <t>Pass</t>
        </is>
      </c>
      <c r="H2" s="10" t="inlineStr">
        <is>
          <t>tests/ui/purchase-flow.spec.ts</t>
        </is>
      </c>
    </row>
    <row r="3">
      <c r="A3" s="10" t="inlineStr">
        <is>
          <t>API-001</t>
        </is>
      </c>
      <c r="B3" s="10" t="inlineStr">
        <is>
          <t>API</t>
        </is>
      </c>
      <c r="C3" s="10" t="inlineStr">
        <is>
          <t>GET /entries returns the first page of products</t>
        </is>
      </c>
      <c r="D3" s="10" t="inlineStr">
        <is>
          <t>GET /entries</t>
        </is>
      </c>
      <c r="E3" s="10" t="inlineStr">
        <is>
          <t>200, JSON; every item has id, title, price, cat; LastEvaluatedKey present</t>
        </is>
      </c>
      <c r="F3" s="11" t="inlineStr">
        <is>
          <t>As expected on API. (Automated run 2026-09-27)</t>
        </is>
      </c>
      <c r="G3" s="12" t="inlineStr">
        <is>
          <t>Pass</t>
        </is>
      </c>
      <c r="H3" s="10" t="inlineStr">
        <is>
          <t>tests/api/demoblaze-api.spec.ts</t>
        </is>
      </c>
    </row>
    <row r="4">
      <c r="A4" s="10" t="inlineStr">
        <is>
          <t>API-002</t>
        </is>
      </c>
      <c r="B4" s="10" t="inlineStr">
        <is>
          <t>API</t>
        </is>
      </c>
      <c r="C4" s="10" t="inlineStr">
        <is>
          <t>POST /view returns one product by id</t>
        </is>
      </c>
      <c r="D4" s="10" t="inlineStr">
        <is>
          <t>POST /view</t>
        </is>
      </c>
      <c r="E4" s="10" t="inlineStr">
        <is>
          <t>id, title and price match the catalogue</t>
        </is>
      </c>
      <c r="F4" s="11" t="inlineStr">
        <is>
          <t>As expected on API. (Automated run 2026-09-27)</t>
        </is>
      </c>
      <c r="G4" s="12" t="inlineStr">
        <is>
          <t>Pass</t>
        </is>
      </c>
      <c r="H4" s="10" t="inlineStr">
        <is>
          <t>tests/api/demoblaze-api.spec.ts</t>
        </is>
      </c>
    </row>
    <row r="5">
      <c r="A5" s="10" t="inlineStr">
        <is>
          <t>API-003</t>
        </is>
      </c>
      <c r="B5" s="10" t="inlineStr">
        <is>
          <t>API</t>
        </is>
      </c>
      <c r="C5" s="10" t="inlineStr">
        <is>
          <t>POST /bycat returns only the requested category</t>
        </is>
      </c>
      <c r="D5" s="10" t="inlineStr">
        <is>
          <t>POST /bycat</t>
        </is>
      </c>
      <c r="E5" s="10" t="inlineStr">
        <is>
          <t>Non-empty; every item has the requested cat (phone, notebook, monitor)</t>
        </is>
      </c>
      <c r="F5" s="11" t="inlineStr">
        <is>
          <t>As expected on API. (Automated run 2026-09-27)</t>
        </is>
      </c>
      <c r="G5" s="12" t="inlineStr">
        <is>
          <t>Pass</t>
        </is>
      </c>
      <c r="H5" s="10" t="inlineStr">
        <is>
          <t>tests/api/demoblaze-api.spec.ts</t>
        </is>
      </c>
    </row>
    <row r="6">
      <c r="A6" s="10" t="inlineStr">
        <is>
          <t>API-004</t>
        </is>
      </c>
      <c r="B6" s="10" t="inlineStr">
        <is>
          <t>API</t>
        </is>
      </c>
      <c r="C6" s="10" t="inlineStr">
        <is>
          <t>Valid login returns a token that resolves to the user</t>
        </is>
      </c>
      <c r="D6" s="10" t="inlineStr">
        <is>
          <t>POST /login, POST /check</t>
        </is>
      </c>
      <c r="E6" s="10" t="inlineStr">
        <is>
          <t>Token returned; /check returns the same username</t>
        </is>
      </c>
      <c r="F6" s="11" t="inlineStr">
        <is>
          <t>As expected on API. (Automated run 2026-09-27)</t>
        </is>
      </c>
      <c r="G6" s="12" t="inlineStr">
        <is>
          <t>Pass</t>
        </is>
      </c>
      <c r="H6" s="10" t="inlineStr">
        <is>
          <t>tests/api/demoblaze-api.spec.ts</t>
        </is>
      </c>
    </row>
    <row r="7">
      <c r="A7" s="10" t="inlineStr">
        <is>
          <t>API-005</t>
        </is>
      </c>
      <c r="B7" s="10" t="inlineStr">
        <is>
          <t>API</t>
        </is>
      </c>
      <c r="C7" s="10" t="inlineStr">
        <is>
          <t>Wrong password is rejected</t>
        </is>
      </c>
      <c r="D7" s="10" t="inlineStr">
        <is>
          <t>POST /login</t>
        </is>
      </c>
      <c r="E7" s="10" t="inlineStr">
        <is>
          <t>{ errorMessage: 'Wrong password.' }</t>
        </is>
      </c>
      <c r="F7" s="11" t="inlineStr">
        <is>
          <t>As expected on API. (Automated run 2026-09-27)</t>
        </is>
      </c>
      <c r="G7" s="12" t="inlineStr">
        <is>
          <t>Pass</t>
        </is>
      </c>
      <c r="H7" s="10" t="inlineStr">
        <is>
          <t>tests/api/demoblaze-api.spec.ts</t>
        </is>
      </c>
    </row>
    <row r="8">
      <c r="A8" s="10" t="inlineStr">
        <is>
          <t>API-006</t>
        </is>
      </c>
      <c r="B8" s="10" t="inlineStr">
        <is>
          <t>API</t>
        </is>
      </c>
      <c r="C8" s="10" t="inlineStr">
        <is>
          <t>Unknown username is rejected</t>
        </is>
      </c>
      <c r="D8" s="10" t="inlineStr">
        <is>
          <t>POST /login</t>
        </is>
      </c>
      <c r="E8" s="10" t="inlineStr">
        <is>
          <t>{ errorMessage: 'User does not exist.' }</t>
        </is>
      </c>
      <c r="F8" s="11" t="inlineStr">
        <is>
          <t>As expected on API. (Automated run 2026-09-27)</t>
        </is>
      </c>
      <c r="G8" s="12" t="inlineStr">
        <is>
          <t>Pass</t>
        </is>
      </c>
      <c r="H8" s="10" t="inlineStr">
        <is>
          <t>tests/api/demoblaze-api.spec.ts</t>
        </is>
      </c>
    </row>
    <row r="9">
      <c r="A9" s="10" t="inlineStr">
        <is>
          <t>API-007</t>
        </is>
      </c>
      <c r="B9" s="10" t="inlineStr">
        <is>
          <t>API</t>
        </is>
      </c>
      <c r="C9" s="10" t="inlineStr">
        <is>
          <t>Signing up an existing username is rejected</t>
        </is>
      </c>
      <c r="D9" s="10" t="inlineStr">
        <is>
          <t>POST /signup</t>
        </is>
      </c>
      <c r="E9" s="10" t="inlineStr">
        <is>
          <t>{ errorMessage: 'This user already exist.' }</t>
        </is>
      </c>
      <c r="F9" s="11" t="inlineStr">
        <is>
          <t>As expected on API. (Automated run 2026-09-27)</t>
        </is>
      </c>
      <c r="G9" s="12" t="inlineStr">
        <is>
          <t>Pass</t>
        </is>
      </c>
      <c r="H9" s="10" t="inlineStr">
        <is>
          <t>tests/api/demoblaze-api.spec.ts</t>
        </is>
      </c>
    </row>
    <row r="10">
      <c r="A10" s="10" t="inlineStr">
        <is>
          <t>API-008</t>
        </is>
      </c>
      <c r="B10" s="10" t="inlineStr">
        <is>
          <t>API</t>
        </is>
      </c>
      <c r="C10" s="10" t="inlineStr">
        <is>
          <t>A forged token is not accepted as a session</t>
        </is>
      </c>
      <c r="D10" s="10" t="inlineStr">
        <is>
          <t>POST /check</t>
        </is>
      </c>
      <c r="E10" s="10" t="inlineStr">
        <is>
          <t>No user resolved</t>
        </is>
      </c>
      <c r="F10" s="11" t="inlineStr">
        <is>
          <t>As expected on API. (Automated run 2026-09-27)</t>
        </is>
      </c>
      <c r="G10" s="12" t="inlineStr">
        <is>
          <t>Pass</t>
        </is>
      </c>
      <c r="H10" s="10" t="inlineStr">
        <is>
          <t>tests/api/demoblaze-api.spec.ts</t>
        </is>
      </c>
    </row>
    <row r="11">
      <c r="A11" s="10" t="inlineStr">
        <is>
          <t>API-009</t>
        </is>
      </c>
      <c r="B11" s="10" t="inlineStr">
        <is>
          <t>API</t>
        </is>
      </c>
      <c r="C11" s="10" t="inlineStr">
        <is>
          <t>Add, view and delete cart lines</t>
        </is>
      </c>
      <c r="D11" s="10" t="inlineStr">
        <is>
          <t>/addtocart, /viewcart, /deleteitem</t>
        </is>
      </c>
      <c r="E11" s="10" t="inlineStr">
        <is>
          <t>Lines added, listed, deleted one by one; cart empty at the end</t>
        </is>
      </c>
      <c r="F11" s="11" t="inlineStr">
        <is>
          <t>As expected on API. (Automated run 2026-09-27)</t>
        </is>
      </c>
      <c r="G11" s="12" t="inlineStr">
        <is>
          <t>Pass</t>
        </is>
      </c>
      <c r="H11" s="10" t="inlineStr">
        <is>
          <t>tests/api/demoblaze-api.spec.ts</t>
        </is>
      </c>
    </row>
    <row r="12">
      <c r="A12" s="10" t="inlineStr">
        <is>
          <t>PERF-001</t>
        </is>
      </c>
      <c r="B12" s="10" t="inlineStr">
        <is>
          <t>Performance</t>
        </is>
      </c>
      <c r="C12" s="10" t="inlineStr">
        <is>
          <t>Home page load and catalogue render within budget</t>
        </is>
      </c>
      <c r="D12" s="10" t="inlineStr">
        <is>
          <t>index.html</t>
        </is>
      </c>
      <c r="E12" s="10" t="inlineStr">
        <is>
          <t>DOMContentLoaded &lt; 5 s, load &lt; 10 s, grid visible &lt; 8 s (configurable)</t>
        </is>
      </c>
      <c r="F12" s="11" t="inlineStr">
        <is>
          <t>As expected on Chromium. (Automated run 2026-09-27)</t>
        </is>
      </c>
      <c r="G12" s="12" t="inlineStr">
        <is>
          <t>Pass</t>
        </is>
      </c>
      <c r="H12" s="10" t="inlineStr">
        <is>
          <t>tests/performance/performance.spec.ts</t>
        </is>
      </c>
    </row>
    <row r="13">
      <c r="A13" s="10" t="inlineStr">
        <is>
          <t>PERF-002</t>
        </is>
      </c>
      <c r="B13" s="10" t="inlineStr">
        <is>
          <t>Performance</t>
        </is>
      </c>
      <c r="C13" s="10" t="inlineStr">
        <is>
          <t>Product page loads within budget</t>
        </is>
      </c>
      <c r="D13" s="10" t="inlineStr">
        <is>
          <t>prod.html?idp_=1</t>
        </is>
      </c>
      <c r="E13" s="10" t="inlineStr">
        <is>
          <t>Same budgets as PERF-001</t>
        </is>
      </c>
      <c r="F13" s="11" t="inlineStr">
        <is>
          <t>As expected on Chromium. (Automated run 2026-09-27)</t>
        </is>
      </c>
      <c r="G13" s="12" t="inlineStr">
        <is>
          <t>Pass</t>
        </is>
      </c>
      <c r="H13" s="10" t="inlineStr">
        <is>
          <t>tests/performance/performance.spec.ts</t>
        </is>
      </c>
    </row>
    <row r="14">
      <c r="A14" s="10" t="inlineStr">
        <is>
          <t>PERF-003</t>
        </is>
      </c>
      <c r="B14" s="10" t="inlineStr">
        <is>
          <t>Performance</t>
        </is>
      </c>
      <c r="C14" s="10" t="inlineStr">
        <is>
          <t>Cart page loads within budget</t>
        </is>
      </c>
      <c r="D14" s="10" t="inlineStr">
        <is>
          <t>cart.html</t>
        </is>
      </c>
      <c r="E14" s="10" t="inlineStr">
        <is>
          <t>Same budgets as PERF-001</t>
        </is>
      </c>
      <c r="F14" s="11" t="inlineStr">
        <is>
          <t>As expected on Chromium. (Automated run 2026-09-27)</t>
        </is>
      </c>
      <c r="G14" s="12" t="inlineStr">
        <is>
          <t>Pass</t>
        </is>
      </c>
      <c r="H14" s="10" t="inlineStr">
        <is>
          <t>tests/performance/performance.spec.ts</t>
        </is>
      </c>
    </row>
    <row r="15">
      <c r="A15" s="10" t="inlineStr">
        <is>
          <t>PERF-004</t>
        </is>
      </c>
      <c r="B15" s="10" t="inlineStr">
        <is>
          <t>Performance</t>
        </is>
      </c>
      <c r="C15" s="10" t="inlineStr">
        <is>
          <t>Catalogue and product endpoints meet the p95 budget</t>
        </is>
      </c>
      <c r="D15" s="10" t="inlineStr">
        <is>
          <t>GET /entries, POST /view (10 samples each)</t>
        </is>
      </c>
      <c r="E15" s="10" t="inlineStr">
        <is>
          <t>p95 &lt; 2 s; every response 200</t>
        </is>
      </c>
      <c r="F15" s="11" t="inlineStr">
        <is>
          <t>As expected on Chromium. (Automated run 2026-09-27)</t>
        </is>
      </c>
      <c r="G15" s="12" t="inlineStr">
        <is>
          <t>Pass</t>
        </is>
      </c>
      <c r="H15" s="10" t="inlineStr">
        <is>
          <t>tests/performance/performance.spec.ts</t>
        </is>
      </c>
    </row>
    <row r="16">
      <c r="A16" s="10" t="inlineStr">
        <is>
          <t>PERF-005</t>
        </is>
      </c>
      <c r="B16" s="10" t="inlineStr">
        <is>
          <t>Performance</t>
        </is>
      </c>
      <c r="C16" s="10" t="inlineStr">
        <is>
          <t>A small concurrent burst is served correctly</t>
        </is>
      </c>
      <c r="D16" s="10" t="inlineStr">
        <is>
          <t>GET /entries x5</t>
        </is>
      </c>
      <c r="E16" s="10" t="inlineStr">
        <is>
          <t>All 200; p95 &lt; 2 s</t>
        </is>
      </c>
      <c r="F16" s="11" t="inlineStr">
        <is>
          <t>As expected on Chromium. (Automated run 2026-09-27)</t>
        </is>
      </c>
      <c r="G16" s="12" t="inlineStr">
        <is>
          <t>Pass</t>
        </is>
      </c>
      <c r="H16" s="10" t="inlineStr">
        <is>
          <t>tests/performance/performance.spec.ts</t>
        </is>
      </c>
    </row>
  </sheetData>
  <autoFilter ref="A1:H16"/>
  <conditionalFormatting sqref="G2:G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G2:G16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48" customWidth="1" min="3" max="3"/>
    <col width="55" customWidth="1" min="4" max="4"/>
    <col width="10" customWidth="1" min="5" max="5"/>
    <col width="12" customWidth="1" min="6" max="6"/>
    <col width="16" customWidth="1" min="7" max="7"/>
  </cols>
  <sheetData>
    <row r="1">
      <c r="A1" s="4" t="inlineStr">
        <is>
          <t>ID</t>
        </is>
      </c>
      <c r="B1" s="4" t="inlineStr">
        <is>
          <t>Area</t>
        </is>
      </c>
      <c r="C1" s="4" t="inlineStr">
        <is>
          <t>Suspected defect</t>
        </is>
      </c>
      <c r="D1" s="4" t="inlineStr">
        <is>
          <t>Evidence (client source code)</t>
        </is>
      </c>
      <c r="E1" s="4" t="inlineStr">
        <is>
          <t>Severity</t>
        </is>
      </c>
      <c r="F1" s="4" t="inlineStr">
        <is>
          <t>Covered by</t>
        </is>
      </c>
      <c r="G1" s="4" t="inlineStr">
        <is>
          <t>Confirmed on run?</t>
        </is>
      </c>
    </row>
    <row r="2">
      <c r="A2" s="9" t="inlineStr">
        <is>
          <t>DEF-01</t>
        </is>
      </c>
      <c r="B2" s="9" t="inlineStr">
        <is>
          <t>Login</t>
        </is>
      </c>
      <c r="C2" s="10" t="inlineStr">
        <is>
          <t>Whitespace-only username/password is sent to the server instead of being rejected as empty</t>
        </is>
      </c>
      <c r="D2" s="10" t="inlineStr">
        <is>
          <t>logIn(): if (pass == "" || username == "")</t>
        </is>
      </c>
      <c r="E2" s="9" t="inlineStr">
        <is>
          <t>Medium</t>
        </is>
      </c>
      <c r="F2" s="9" t="inlineStr">
        <is>
          <t>LOGIN-021</t>
        </is>
      </c>
      <c r="G2" s="11" t="inlineStr">
        <is>
          <t>Yes — LOGIN-021 (2026-09-26): spaces are sent to the server, which answers "Wrong password." — an account named "   " exists, so whitespace-only usernames can even be registered | Re-confirmed 2026-09-27 (LOGIN-021)</t>
        </is>
      </c>
    </row>
    <row r="3">
      <c r="A3" s="9" t="inlineStr">
        <is>
          <t>DEF-02</t>
        </is>
      </c>
      <c r="B3" s="9" t="inlineStr">
        <is>
          <t>Checkout</t>
        </is>
      </c>
      <c r="C3" s="10" t="inlineStr">
        <is>
          <t>An order can be placed with an empty cart (Amount: 0 USD)</t>
        </is>
      </c>
      <c r="D3" s="10" t="inlineStr">
        <is>
          <t>purchaseOrder() never checks the cart / total</t>
        </is>
      </c>
      <c r="E3" s="9" t="inlineStr">
        <is>
          <t>High</t>
        </is>
      </c>
      <c r="F3" s="9" t="inlineStr">
        <is>
          <t>CART-022</t>
        </is>
      </c>
      <c r="G3" s="11" t="inlineStr">
        <is>
          <t>Yes — CART-022 (2026-09-26): purchase confirmed with an empty cart | Re-confirmed 2026-09-27 (CART-022)</t>
        </is>
      </c>
    </row>
    <row r="4">
      <c r="A4" s="9" t="inlineStr">
        <is>
          <t>DEF-03</t>
        </is>
      </c>
      <c r="B4" s="9" t="inlineStr">
        <is>
          <t>Checkout</t>
        </is>
      </c>
      <c r="C4" s="10" t="inlineStr">
        <is>
          <t>Credit card number is not validated (any text accepted)</t>
        </is>
      </c>
      <c r="D4" s="10" t="inlineStr">
        <is>
          <t>purchaseOrder() only checks card == ""</t>
        </is>
      </c>
      <c r="E4" s="9" t="inlineStr">
        <is>
          <t>High</t>
        </is>
      </c>
      <c r="F4" s="9" t="inlineStr">
        <is>
          <t>CART-020</t>
        </is>
      </c>
      <c r="G4" s="11" t="inlineStr">
        <is>
          <t>Yes — CART-020 (2026-09-28): card "abcd-xyz" accepted, Chromium and WebKit</t>
        </is>
      </c>
    </row>
    <row r="5">
      <c r="A5" s="9" t="inlineStr">
        <is>
          <t>DEF-04</t>
        </is>
      </c>
      <c r="B5" s="9" t="inlineStr">
        <is>
          <t>Checkout</t>
        </is>
      </c>
      <c r="C5" s="10" t="inlineStr">
        <is>
          <t>Month and Year are not validated (invalid/expired dates accepted)</t>
        </is>
      </c>
      <c r="D5" s="10" t="inlineStr">
        <is>
          <t>#month / #year are never read by purchaseOrder()</t>
        </is>
      </c>
      <c r="E5" s="9" t="inlineStr">
        <is>
          <t>Medium</t>
        </is>
      </c>
      <c r="F5" s="9" t="inlineStr">
        <is>
          <t>CART-021</t>
        </is>
      </c>
      <c r="G5" s="11" t="inlineStr">
        <is>
          <t>Yes — CART-021 (2026-09-28): month 13 / year "abcd" and year 2000 both accepted, Chromium and WebKit</t>
        </is>
      </c>
    </row>
    <row r="6">
      <c r="A6" s="9" t="inlineStr">
        <is>
          <t>DEF-05</t>
        </is>
      </c>
      <c r="B6" s="9" t="inlineStr">
        <is>
          <t>Checkout</t>
        </is>
      </c>
      <c r="C6" s="10" t="inlineStr">
        <is>
          <t>Whitespace-only Name / Credit card accepted</t>
        </is>
      </c>
      <c r="D6" s="10" t="inlineStr">
        <is>
          <t>purchaseOrder(): if (name == "" || creditcard == "")</t>
        </is>
      </c>
      <c r="E6" s="9" t="inlineStr">
        <is>
          <t>Medium</t>
        </is>
      </c>
      <c r="F6" s="9" t="inlineStr">
        <is>
          <t>CART-024</t>
        </is>
      </c>
      <c r="G6" s="11" t="inlineStr">
        <is>
          <t>Yes — CART-024 (2026-09-28): whitespace-only Name and Card accepted, Chromium and WebKit</t>
        </is>
      </c>
    </row>
    <row r="7">
      <c r="A7" s="9" t="inlineStr">
        <is>
          <t>DEF-06</t>
        </is>
      </c>
      <c r="B7" s="9" t="inlineStr">
        <is>
          <t>Checkout</t>
        </is>
      </c>
      <c r="C7" s="10" t="inlineStr">
        <is>
          <t>Confirmation date shows the previous month</t>
        </is>
      </c>
      <c r="D7" s="10" t="inlineStr">
        <is>
          <t>"Date: " + date.getDate() + "/" + date.getMonth() + ...  (getMonth() is 0-based)</t>
        </is>
      </c>
      <c r="E7" s="9" t="inlineStr">
        <is>
          <t>Medium</t>
        </is>
      </c>
      <c r="F7" s="9" t="inlineStr">
        <is>
          <t>CART-025</t>
        </is>
      </c>
      <c r="G7" s="11" t="inlineStr">
        <is>
          <t>Yes — CART-025 (2026-09-26): confirmation showed 25/8/2026 on 25/9/2026 | Re-confirmed 2026-09-27 (CART-025)</t>
        </is>
      </c>
    </row>
    <row r="8">
      <c r="A8" s="9" t="inlineStr">
        <is>
          <t>DEF-07</t>
        </is>
      </c>
      <c r="B8" s="9" t="inlineStr">
        <is>
          <t>Cart</t>
        </is>
      </c>
      <c r="C8" s="10" t="inlineStr">
        <is>
          <t>Different confirmation text for guest vs logged-in add to cart</t>
        </is>
      </c>
      <c r="D8" s="10" t="inlineStr">
        <is>
          <t>addToCart(): alert("Product added") vs alert("Product added.")</t>
        </is>
      </c>
      <c r="E8" s="9" t="inlineStr">
        <is>
          <t>Low</t>
        </is>
      </c>
      <c r="F8" s="9" t="inlineStr">
        <is>
          <t>CART-032</t>
        </is>
      </c>
      <c r="G8" s="11" t="inlineStr">
        <is>
          <t>Yes — CART-001 / CART-002 (2026-09-26): guest "Product added", user "Product added." | Re-confirmed 2026-09-27 (CART-032)</t>
        </is>
      </c>
    </row>
    <row r="9">
      <c r="A9" s="9" t="inlineStr">
        <is>
          <t>DEF-08</t>
        </is>
      </c>
      <c r="B9" s="9" t="inlineStr">
        <is>
          <t>Login</t>
        </is>
      </c>
      <c r="C9" s="10" t="inlineStr">
        <is>
          <t>Enter key does not submit the login form</t>
        </is>
      </c>
      <c r="D9" s="10" t="inlineStr">
        <is>
          <t>Login &lt;form&gt; has no submit button; 'Log in' is type=button with onClick</t>
        </is>
      </c>
      <c r="E9" s="9" t="inlineStr">
        <is>
          <t>Low</t>
        </is>
      </c>
      <c r="F9" s="9" t="inlineStr">
        <is>
          <t>LOGIN-026</t>
        </is>
      </c>
      <c r="G9" s="11" t="inlineStr">
        <is>
          <t>Yes — LOGIN-026 (2026-09-28): Enter in the password field does not submit, Chromium and WebKit</t>
        </is>
      </c>
    </row>
    <row r="10">
      <c r="A10" s="9" t="inlineStr">
        <is>
          <t>DEF-09</t>
        </is>
      </c>
      <c r="B10" s="9" t="inlineStr">
        <is>
          <t>Checkout</t>
        </is>
      </c>
      <c r="C10" s="10" t="inlineStr">
        <is>
          <t>Cart can stay full after a successful purchase if OK is clicked on the confirmation before the background /deletecart request completes</t>
        </is>
      </c>
      <c r="D10" s="10" t="inlineStr">
        <is>
          <t>purchaseOrder(): deleteCart() is fire-and-forget; OK sets location.href = "index.html" immediately. Observed on WebKit: /viewcart still returned 2 lines after the purchase</t>
        </is>
      </c>
      <c r="E10" s="9" t="inlineStr">
        <is>
          <t>Medium</t>
        </is>
      </c>
      <c r="F10" s="9" t="inlineStr">
        <is>
          <t>CART-037</t>
        </is>
      </c>
      <c r="G10" s="11" t="inlineStr">
        <is>
          <t>Observed once on WebKit (2026-09-26, 1 of 2 repeats) when OK was clicked immediately; timing-dependent</t>
        </is>
      </c>
    </row>
    <row r="11">
      <c r="A11" s="9" t="inlineStr">
        <is>
          <t>DEF-10</t>
        </is>
      </c>
      <c r="B11" s="9" t="inlineStr">
        <is>
          <t>Checkout</t>
        </is>
      </c>
      <c r="C11" s="10" t="inlineStr">
        <is>
          <t>Purchase confirmation displays the full credit card number</t>
        </is>
      </c>
      <c r="D11" s="10" t="inlineStr">
        <is>
          <t>purchaseOrder(): "Card Number: " + creditcard (no masking). Confirmed in the automated runs' confirmation text</t>
        </is>
      </c>
      <c r="E11" s="9" t="inlineStr">
        <is>
          <t>High</t>
        </is>
      </c>
      <c r="F11" s="9" t="inlineStr">
        <is>
          <t>CART-033</t>
        </is>
      </c>
      <c r="G11" s="11" t="inlineStr">
        <is>
          <t>Yes — CART-012 / E2E-001 runs (2026-09-26): full 16 digits shown | Re-confirmed 2026-09-27 (CART-033)</t>
        </is>
      </c>
    </row>
    <row r="12">
      <c r="A12" s="9" t="inlineStr">
        <is>
          <t>DEF-11</t>
        </is>
      </c>
      <c r="B12" s="9" t="inlineStr">
        <is>
          <t>Login / Cart</t>
        </is>
      </c>
      <c r="C12" s="10" t="inlineStr">
        <is>
          <t>No user feedback when an API request fails (login, add to cart, cart load)</t>
        </is>
      </c>
      <c r="D12" s="10" t="inlineStr">
        <is>
          <t>Every $.ajax call in index.js, prod.js and cart.js has a success callback only, no error callback</t>
        </is>
      </c>
      <c r="E12" s="9" t="inlineStr">
        <is>
          <t>Medium</t>
        </is>
      </c>
      <c r="F12" s="9" t="inlineStr">
        <is>
          <t>LOGIN-029, CART-034</t>
        </is>
      </c>
      <c r="G12" s="11" t="inlineStr">
        <is>
          <t>Yes — LOGIN-029 and CART-034 (2026-09-28): aborted /login and /addtocart give no alert or message, Chromium and WebKit</t>
        </is>
      </c>
    </row>
    <row r="13">
      <c r="A13" s="9" t="inlineStr">
        <is>
          <t>DEF-12</t>
        </is>
      </c>
      <c r="B13" s="9" t="inlineStr">
        <is>
          <t>Product</t>
        </is>
      </c>
      <c r="C13" s="10" t="inlineStr">
        <is>
          <t>An invalid product id shows an 'undefined' product ($undefined) with a working 'Add to cart' button instead of a not-found message</t>
        </is>
      </c>
      <c r="D13" s="10" t="inlineStr">
        <is>
          <t>prod.js renders /view's body without checking it; /view answers {"errorMessage":"Not found."} for id 99999 (screenshot taken 2026-09-28)</t>
        </is>
      </c>
      <c r="E13" s="9" t="inlineStr">
        <is>
          <t>Medium</t>
        </is>
      </c>
      <c r="F13" s="9" t="inlineStr">
        <is>
          <t>CART-023</t>
        </is>
      </c>
      <c r="G13" s="11" t="inlineStr">
        <is>
          <t>Yes — CART-023 (2026-09-28), Chromium and WebKit</t>
        </is>
      </c>
    </row>
    <row r="14">
      <c r="A14" s="9" t="inlineStr">
        <is>
          <t>DEF-13</t>
        </is>
      </c>
      <c r="B14" s="9" t="inlineStr">
        <is>
          <t>Login</t>
        </is>
      </c>
      <c r="C14" s="10" t="inlineStr">
        <is>
          <t>No brute-force protection: after 10 wrong passwords the correct password logs straight in, with no lockout, delay or captcha</t>
        </is>
      </c>
      <c r="D14" s="10" t="inlineStr">
        <is>
          <t>logIn() and the /login API have no attempt counter; observed on the suite's own account</t>
        </is>
      </c>
      <c r="E14" s="9" t="inlineStr">
        <is>
          <t>Medium</t>
        </is>
      </c>
      <c r="F14" s="9" t="inlineStr">
        <is>
          <t>LOGIN-030</t>
        </is>
      </c>
      <c r="G14" s="11" t="inlineStr">
        <is>
          <t>Yes — LOGIN-030 (2026-09-28), Chromium and WebKit. Expected result is industry practice, confirm with PO</t>
        </is>
      </c>
    </row>
    <row r="15">
      <c r="A15" s="9" t="inlineStr">
        <is>
          <t>DEF-14</t>
        </is>
      </c>
      <c r="B15" s="9" t="inlineStr">
        <is>
          <t>Catalogue data</t>
        </is>
      </c>
      <c r="C15" s="10" t="inlineStr">
        <is>
          <t>Product title 'Sony vaio i7' is stored with a trailing newline ('Sony vaio i7\n')</t>
        </is>
      </c>
      <c r="D15" s="10" t="inlineStr">
        <is>
          <t>GET /entries and POST /bycat return "title": "Sony vaio i7\n". Browsers hide it, but exact-match search, sorting or exports would not</t>
        </is>
      </c>
      <c r="E15" s="9" t="inlineStr">
        <is>
          <t>Low</t>
        </is>
      </c>
      <c r="F15" s="9" t="inlineStr">
        <is>
          <t>CART-028, CART-035 (found while automating)</t>
        </is>
      </c>
      <c r="G15" s="11" t="inlineStr">
        <is>
          <t>Yes — API response (2026-09-28)</t>
        </is>
      </c>
    </row>
    <row r="16"/>
    <row r="17">
      <c r="A17" s="13" t="inlineStr">
        <is>
          <t>Source: static reading of https://www.demoblaze.com/js/index.js, cart.js, prod.js (2026-09-25). These are suspected until confirmed by executing the linked test case; fill column G after the run.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6" customWidth="1" min="3" max="3"/>
    <col width="70" customWidth="1" min="4" max="4"/>
  </cols>
  <sheetData>
    <row r="1">
      <c r="A1" s="4" t="inlineStr">
        <is>
          <t>Date</t>
        </is>
      </c>
      <c r="B1" s="4" t="inlineStr">
        <is>
          <t>Change</t>
        </is>
      </c>
      <c r="C1" s="4" t="inlineStr">
        <is>
          <t>Cases</t>
        </is>
      </c>
      <c r="D1" s="4" t="inlineStr">
        <is>
          <t>Reason</t>
        </is>
      </c>
    </row>
    <row r="2">
      <c r="A2" s="10" t="inlineStr">
        <is>
          <t>2026-09-25</t>
        </is>
      </c>
      <c r="B2" s="10" t="inlineStr">
        <is>
          <t>Created</t>
        </is>
      </c>
      <c r="C2" s="10" t="inlineStr">
        <is>
          <t>LOGIN-001..028, CART-001..032, DEF-01..08</t>
        </is>
      </c>
      <c r="D2" s="10" t="inlineStr">
        <is>
          <t>Initial design from the site's client-side source</t>
        </is>
      </c>
    </row>
    <row r="3">
      <c r="A3" s="10" t="inlineStr">
        <is>
          <t>2026-09-26</t>
        </is>
      </c>
      <c r="B3" s="10" t="inlineStr">
        <is>
          <t>Executed</t>
        </is>
      </c>
      <c r="C3" s="10" t="inlineStr">
        <is>
          <t>Login, Cart, API &amp; Performance</t>
        </is>
      </c>
      <c r="D3" s="10" t="inlineStr">
        <is>
          <t>Status and Actual Result filled from the automated run (Chromium + WebKit)</t>
        </is>
      </c>
    </row>
    <row r="4">
      <c r="A4" s="10" t="inlineStr">
        <is>
          <t>2026-09-26</t>
        </is>
      </c>
      <c r="B4" s="10" t="inlineStr">
        <is>
          <t>Merged</t>
        </is>
      </c>
      <c r="C4" s="10" t="inlineStr">
        <is>
          <t>LOGIN-007 → LOGIN-001</t>
        </is>
      </c>
      <c r="D4" s="10" t="inlineStr">
        <is>
          <t>Password masking is one check on the same modal</t>
        </is>
      </c>
    </row>
    <row r="5">
      <c r="A5" s="10" t="inlineStr">
        <is>
          <t>2026-09-26</t>
        </is>
      </c>
      <c r="B5" s="10" t="inlineStr">
        <is>
          <t>Merged</t>
        </is>
      </c>
      <c r="C5" s="10" t="inlineStr">
        <is>
          <t>LOGIN-004 → LOGIN-003</t>
        </is>
      </c>
      <c r="D5" s="10" t="inlineStr">
        <is>
          <t>Same mechanism (session cookie) as reload/navigation</t>
        </is>
      </c>
    </row>
    <row r="6">
      <c r="A6" s="10" t="inlineStr">
        <is>
          <t>2026-09-26</t>
        </is>
      </c>
      <c r="B6" s="10" t="inlineStr">
        <is>
          <t>Merged</t>
        </is>
      </c>
      <c r="C6" s="10" t="inlineStr">
        <is>
          <t>LOGIN-012, LOGIN-013 → LOGIN-011</t>
        </is>
      </c>
      <c r="D6" s="10" t="inlineStr">
        <is>
          <t>One rule; kept as 3 data sets</t>
        </is>
      </c>
    </row>
    <row r="7">
      <c r="A7" s="10" t="inlineStr">
        <is>
          <t>2026-09-26</t>
        </is>
      </c>
      <c r="B7" s="10" t="inlineStr">
        <is>
          <t>Merged</t>
        </is>
      </c>
      <c r="C7" s="10" t="inlineStr">
        <is>
          <t>CART-003 → CART-002</t>
        </is>
      </c>
      <c r="D7" s="10" t="inlineStr">
        <is>
          <t>Layout is checked on the same page visit</t>
        </is>
      </c>
    </row>
    <row r="8">
      <c r="A8" s="10" t="inlineStr">
        <is>
          <t>2026-09-26</t>
        </is>
      </c>
      <c r="B8" s="10" t="inlineStr">
        <is>
          <t>Merged</t>
        </is>
      </c>
      <c r="C8" s="10" t="inlineStr">
        <is>
          <t>CART-009 → CART-008</t>
        </is>
      </c>
      <c r="D8" s="10" t="inlineStr">
        <is>
          <t>Same server-side persistence; new session kept as a step</t>
        </is>
      </c>
    </row>
    <row r="9">
      <c r="A9" s="10" t="inlineStr">
        <is>
          <t>2026-09-26</t>
        </is>
      </c>
      <c r="B9" s="10" t="inlineStr">
        <is>
          <t>Merged</t>
        </is>
      </c>
      <c r="C9" s="10" t="inlineStr">
        <is>
          <t>CART-011 → CART-012</t>
        </is>
      </c>
      <c r="D9" s="10" t="inlineStr">
        <is>
          <t>Modal check is the first step of the purchase</t>
        </is>
      </c>
    </row>
    <row r="10">
      <c r="A10" s="10" t="inlineStr">
        <is>
          <t>2026-09-26</t>
        </is>
      </c>
      <c r="B10" s="10" t="inlineStr">
        <is>
          <t>Merged</t>
        </is>
      </c>
      <c r="C10" s="10" t="inlineStr">
        <is>
          <t>CART-018, CART-019 → CART-017</t>
        </is>
      </c>
      <c r="D10" s="10" t="inlineStr">
        <is>
          <t>One rule; kept as 3 data sets</t>
        </is>
      </c>
    </row>
    <row r="11">
      <c r="A11" s="10" t="inlineStr">
        <is>
          <t>2026-09-26</t>
        </is>
      </c>
      <c r="B11" s="10" t="inlineStr">
        <is>
          <t>Added</t>
        </is>
      </c>
      <c r="C11" s="10" t="inlineStr">
        <is>
          <t>CART-033</t>
        </is>
      </c>
      <c r="D11" s="10" t="inlineStr">
        <is>
          <t>Card number shown unmasked on confirmation (DEF-10, confirmed)</t>
        </is>
      </c>
    </row>
    <row r="12">
      <c r="A12" s="10" t="inlineStr">
        <is>
          <t>2026-09-26</t>
        </is>
      </c>
      <c r="B12" s="10" t="inlineStr">
        <is>
          <t>Added</t>
        </is>
      </c>
      <c r="C12" s="10" t="inlineStr">
        <is>
          <t>LOGIN-029, CART-034</t>
        </is>
      </c>
      <c r="D12" s="10" t="inlineStr">
        <is>
          <t>No feedback when an API call fails (DEF-11)</t>
        </is>
      </c>
    </row>
    <row r="13">
      <c r="A13" s="10" t="inlineStr">
        <is>
          <t>2026-09-26</t>
        </is>
      </c>
      <c r="B13" s="10" t="inlineStr">
        <is>
          <t>Added</t>
        </is>
      </c>
      <c r="C13" s="10" t="inlineStr">
        <is>
          <t>CART-035, CART-036</t>
        </is>
      </c>
      <c r="D13" s="10" t="inlineStr">
        <is>
          <t>Category filter and pagination paths were untested</t>
        </is>
      </c>
    </row>
    <row r="14">
      <c r="A14" s="10" t="inlineStr">
        <is>
          <t>2026-09-26</t>
        </is>
      </c>
      <c r="B14" s="10" t="inlineStr">
        <is>
          <t>Added</t>
        </is>
      </c>
      <c r="C14" s="10" t="inlineStr">
        <is>
          <t>LOGIN-030</t>
        </is>
      </c>
      <c r="D14" s="10" t="inlineStr">
        <is>
          <t>Brute-force protection not covered</t>
        </is>
      </c>
    </row>
    <row r="15">
      <c r="A15" s="10" t="inlineStr">
        <is>
          <t>2026-09-26</t>
        </is>
      </c>
      <c r="B15" s="10" t="inlineStr">
        <is>
          <t>Added</t>
        </is>
      </c>
      <c r="C15" s="10" t="inlineStr">
        <is>
          <t>LOGIN-031</t>
        </is>
      </c>
      <c r="D15" s="10" t="inlineStr">
        <is>
          <t>No responsive / mobile case</t>
        </is>
      </c>
    </row>
    <row r="16">
      <c r="A16" s="10" t="inlineStr">
        <is>
          <t>2026-09-26</t>
        </is>
      </c>
      <c r="B16" s="10" t="inlineStr">
        <is>
          <t>Added</t>
        </is>
      </c>
      <c r="C16" s="10" t="inlineStr">
        <is>
          <t>CART-037</t>
        </is>
      </c>
      <c r="D16" s="10" t="inlineStr">
        <is>
          <t>Purchase timing race found on WebKit (DEF-09)</t>
        </is>
      </c>
    </row>
    <row r="17">
      <c r="A17" s="10" t="inlineStr">
        <is>
          <t>2026-09-26</t>
        </is>
      </c>
      <c r="B17" s="10" t="inlineStr">
        <is>
          <t>Added</t>
        </is>
      </c>
      <c r="C17" s="10" t="inlineStr">
        <is>
          <t>CART-038</t>
        </is>
      </c>
      <c r="D17" s="10" t="inlineStr">
        <is>
          <t>parseInt() total risk for decimal prices</t>
        </is>
      </c>
    </row>
    <row r="18">
      <c r="A18" s="10" t="inlineStr">
        <is>
          <t>2026-09-26</t>
        </is>
      </c>
      <c r="B18" s="10" t="inlineStr">
        <is>
          <t>Changed</t>
        </is>
      </c>
      <c r="C18" s="10" t="inlineStr">
        <is>
          <t>CART-020</t>
        </is>
      </c>
      <c r="D18" s="10" t="inlineStr">
        <is>
          <t>Priority Medium → High to match DEF-03 severity</t>
        </is>
      </c>
    </row>
    <row r="19">
      <c r="A19" s="10" t="inlineStr">
        <is>
          <t>2026-09-26</t>
        </is>
      </c>
      <c r="B19" s="10" t="inlineStr">
        <is>
          <t>Changed</t>
        </is>
      </c>
      <c r="C19" s="10" t="inlineStr">
        <is>
          <t>LOGIN-022, LOGIN-023, CART-026</t>
        </is>
      </c>
      <c r="D19" s="10" t="inlineStr">
        <is>
          <t>Status → Blocked: expected rule undefined</t>
        </is>
      </c>
    </row>
    <row r="20">
      <c r="A20" s="10" t="inlineStr">
        <is>
          <t>2026-09-26</t>
        </is>
      </c>
      <c r="B20" s="10" t="inlineStr">
        <is>
          <t>Changed</t>
        </is>
      </c>
      <c r="C20" s="10" t="inlineStr">
        <is>
          <t>CART-020, CART-021, CART-023</t>
        </is>
      </c>
      <c r="D20" s="10" t="inlineStr">
        <is>
          <t>Notes: expected result is industry practice, not spec</t>
        </is>
      </c>
    </row>
    <row r="21">
      <c r="A21" s="10" t="inlineStr">
        <is>
          <t>2026-09-26</t>
        </is>
      </c>
      <c r="B21" s="10" t="inlineStr">
        <is>
          <t>Added</t>
        </is>
      </c>
      <c r="C21" s="10" t="inlineStr">
        <is>
          <t>Sheet 'API &amp; Performance'</t>
        </is>
      </c>
      <c r="D21" s="10" t="inlineStr">
        <is>
          <t>Traceability for E2E-001, API-001..009, PERF-001..005</t>
        </is>
      </c>
    </row>
    <row r="22">
      <c r="A22" s="10" t="inlineStr">
        <is>
          <t>2026-09-27</t>
        </is>
      </c>
      <c r="B22" s="10" t="inlineStr">
        <is>
          <t>Executed</t>
        </is>
      </c>
      <c r="C22" s="10" t="inlineStr">
        <is>
          <t>Login, Cart, API &amp; Performance</t>
        </is>
      </c>
      <c r="D22" s="10" t="inlineStr">
        <is>
          <t>Full automated re-run (Chromium + WebKit + API + performance); 42 cases updated from results.json</t>
        </is>
      </c>
    </row>
    <row r="23">
      <c r="A23" s="10" t="inlineStr">
        <is>
          <t>2026-09-28</t>
        </is>
      </c>
      <c r="B23" s="10" t="inlineStr">
        <is>
          <t>Executed</t>
        </is>
      </c>
      <c r="C23" s="10" t="inlineStr">
        <is>
          <t>25 Login/Cart cases</t>
        </is>
      </c>
      <c r="D23" s="10" t="inlineStr">
        <is>
          <t>New automation for the remaining runnable cases; one full pass, then a re-run of the cases that failed for test-side or network reasons</t>
        </is>
      </c>
    </row>
    <row r="24">
      <c r="A24" s="10" t="inlineStr">
        <is>
          <t>2026-09-28</t>
        </is>
      </c>
      <c r="B24" s="10" t="inlineStr">
        <is>
          <t>Changed</t>
        </is>
      </c>
      <c r="C24" s="10" t="inlineStr">
        <is>
          <t>LOGIN-031</t>
        </is>
      </c>
      <c r="D24" s="10" t="inlineStr">
        <is>
          <t>Steps and expected result revised to the site's real layout (navbar never collapses)</t>
        </is>
      </c>
    </row>
    <row r="25">
      <c r="A25" s="10" t="inlineStr">
        <is>
          <t>2026-09-28</t>
        </is>
      </c>
      <c r="B25" s="10" t="inlineStr">
        <is>
          <t>Changed</t>
        </is>
      </c>
      <c r="C25" s="10" t="inlineStr">
        <is>
          <t>LOGIN-027, LOGIN-030, CART-029</t>
        </is>
      </c>
      <c r="D25" s="10" t="inlineStr">
        <is>
          <t>Automate No → Yes (now automated)</t>
        </is>
      </c>
    </row>
    <row r="26">
      <c r="A26" s="10" t="inlineStr">
        <is>
          <t>2026-09-28</t>
        </is>
      </c>
      <c r="B26" s="10" t="inlineStr">
        <is>
          <t>Changed</t>
        </is>
      </c>
      <c r="C26" s="10" t="inlineStr">
        <is>
          <t>LOGIN-020, CART-038</t>
        </is>
      </c>
      <c r="D26" s="10" t="inlineStr">
        <is>
          <t>Status → Blocked with reason (environment / data constraint)</t>
        </is>
      </c>
    </row>
    <row r="27">
      <c r="A27" s="10" t="inlineStr">
        <is>
          <t>2026-09-28</t>
        </is>
      </c>
      <c r="B27" s="10" t="inlineStr">
        <is>
          <t>Added</t>
        </is>
      </c>
      <c r="C27" s="10" t="inlineStr">
        <is>
          <t>DEF-12, DEF-13, DEF-14</t>
        </is>
      </c>
      <c r="D27" s="10" t="inlineStr">
        <is>
          <t>Found by the new runs; see Findings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2026-09-25T16:12:18Z</dcterms:created>
  <dcterms:modified xmlns:dcterms="http://purl.org/dc/terms/" xmlns:xsi="http://www.w3.org/2001/XMLSchema-instance" xsi:type="dcterms:W3CDTF">2026-09-28T03:28:58Z</dcterms:modified>
</cp:coreProperties>
</file>